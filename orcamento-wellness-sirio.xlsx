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049666413d3eb45/Claude Code/projeto-wellness-clube-sirio/"/>
    </mc:Choice>
  </mc:AlternateContent>
  <xr:revisionPtr revIDLastSave="0" documentId="11_4B81E42E1DD3DE99FF7E9F9AAA9C3F953A463101" xr6:coauthVersionLast="47" xr6:coauthVersionMax="47" xr10:uidLastSave="{00000000-0000-0000-0000-000000000000}"/>
  <bookViews>
    <workbookView xWindow="1520" yWindow="1520" windowWidth="14400" windowHeight="8170" xr2:uid="{00000000-000D-0000-FFFF-FFFF00000000}"/>
  </bookViews>
  <sheets>
    <sheet name="Resumo" sheetId="1" r:id="rId1"/>
    <sheet name="Essencial" sheetId="2" r:id="rId2"/>
    <sheet name="Recomendado" sheetId="3" r:id="rId3"/>
    <sheet name="Premium" sheetId="4" r:id="rId4"/>
    <sheet name="Custo operacional" sheetId="5" r:id="rId5"/>
    <sheet name="Cronograma" sheetId="6" r:id="rId6"/>
    <sheet name="Font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6" l="1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F29" i="5"/>
  <c r="F28" i="5"/>
  <c r="F33" i="5" s="1"/>
  <c r="F24" i="5"/>
  <c r="F23" i="5"/>
  <c r="F25" i="5" s="1"/>
  <c r="F22" i="5"/>
  <c r="F21" i="5"/>
  <c r="D17" i="5"/>
  <c r="E17" i="5" s="1"/>
  <c r="F17" i="5" s="1"/>
  <c r="D16" i="5"/>
  <c r="E16" i="5" s="1"/>
  <c r="F16" i="5" s="1"/>
  <c r="E15" i="5"/>
  <c r="F15" i="5" s="1"/>
  <c r="E14" i="5"/>
  <c r="F14" i="5" s="1"/>
  <c r="D13" i="5"/>
  <c r="E13" i="5" s="1"/>
  <c r="F13" i="5" s="1"/>
  <c r="D12" i="5"/>
  <c r="E12" i="5" s="1"/>
  <c r="G75" i="4"/>
  <c r="G74" i="4"/>
  <c r="G73" i="4"/>
  <c r="G72" i="4"/>
  <c r="G71" i="4"/>
  <c r="G70" i="4"/>
  <c r="G69" i="4"/>
  <c r="G76" i="4" s="1"/>
  <c r="D16" i="1" s="1"/>
  <c r="G66" i="4"/>
  <c r="G65" i="4"/>
  <c r="G64" i="4"/>
  <c r="G63" i="4"/>
  <c r="G67" i="4" s="1"/>
  <c r="D15" i="1" s="1"/>
  <c r="G60" i="4"/>
  <c r="G61" i="4" s="1"/>
  <c r="D14" i="1" s="1"/>
  <c r="G57" i="4"/>
  <c r="G56" i="4"/>
  <c r="G55" i="4"/>
  <c r="G54" i="4"/>
  <c r="G53" i="4"/>
  <c r="G50" i="4"/>
  <c r="G49" i="4"/>
  <c r="G48" i="4"/>
  <c r="G47" i="4"/>
  <c r="G46" i="4"/>
  <c r="G45" i="4"/>
  <c r="G44" i="4"/>
  <c r="G43" i="4"/>
  <c r="G42" i="4"/>
  <c r="G51" i="4" s="1"/>
  <c r="D12" i="1" s="1"/>
  <c r="G39" i="4"/>
  <c r="G38" i="4"/>
  <c r="G37" i="4"/>
  <c r="G40" i="4" s="1"/>
  <c r="G34" i="4"/>
  <c r="G33" i="4"/>
  <c r="G32" i="4"/>
  <c r="G31" i="4"/>
  <c r="G30" i="4"/>
  <c r="G35" i="4" s="1"/>
  <c r="D10" i="1" s="1"/>
  <c r="G27" i="4"/>
  <c r="G26" i="4"/>
  <c r="G25" i="4"/>
  <c r="G24" i="4"/>
  <c r="G23" i="4"/>
  <c r="G22" i="4"/>
  <c r="G21" i="4"/>
  <c r="G18" i="4"/>
  <c r="G17" i="4"/>
  <c r="G19" i="4" s="1"/>
  <c r="D8" i="1" s="1"/>
  <c r="G14" i="4"/>
  <c r="G13" i="4"/>
  <c r="G15" i="4" s="1"/>
  <c r="D7" i="1" s="1"/>
  <c r="G10" i="4"/>
  <c r="G9" i="4"/>
  <c r="G11" i="4" s="1"/>
  <c r="D6" i="1" s="1"/>
  <c r="G6" i="4"/>
  <c r="G5" i="4"/>
  <c r="G7" i="4" s="1"/>
  <c r="G75" i="3"/>
  <c r="G74" i="3"/>
  <c r="G73" i="3"/>
  <c r="G72" i="3"/>
  <c r="G71" i="3"/>
  <c r="G70" i="3"/>
  <c r="G69" i="3"/>
  <c r="G66" i="3"/>
  <c r="G65" i="3"/>
  <c r="G64" i="3"/>
  <c r="G63" i="3"/>
  <c r="G67" i="3" s="1"/>
  <c r="C15" i="1" s="1"/>
  <c r="G60" i="3"/>
  <c r="G61" i="3" s="1"/>
  <c r="C14" i="1" s="1"/>
  <c r="G57" i="3"/>
  <c r="G56" i="3"/>
  <c r="G55" i="3"/>
  <c r="G54" i="3"/>
  <c r="G53" i="3"/>
  <c r="G58" i="3" s="1"/>
  <c r="C13" i="1" s="1"/>
  <c r="G50" i="3"/>
  <c r="G49" i="3"/>
  <c r="G48" i="3"/>
  <c r="G47" i="3"/>
  <c r="G46" i="3"/>
  <c r="G45" i="3"/>
  <c r="G44" i="3"/>
  <c r="G43" i="3"/>
  <c r="G42" i="3"/>
  <c r="G39" i="3"/>
  <c r="G38" i="3"/>
  <c r="G40" i="3" s="1"/>
  <c r="G35" i="3"/>
  <c r="G34" i="3"/>
  <c r="G33" i="3"/>
  <c r="G32" i="3"/>
  <c r="G31" i="3"/>
  <c r="G36" i="3" s="1"/>
  <c r="C10" i="1" s="1"/>
  <c r="G28" i="3"/>
  <c r="G27" i="3"/>
  <c r="G26" i="3"/>
  <c r="G25" i="3"/>
  <c r="G24" i="3"/>
  <c r="G23" i="3"/>
  <c r="G22" i="3"/>
  <c r="G29" i="3" s="1"/>
  <c r="C9" i="1" s="1"/>
  <c r="G19" i="3"/>
  <c r="G18" i="3"/>
  <c r="G20" i="3" s="1"/>
  <c r="C8" i="1" s="1"/>
  <c r="G15" i="3"/>
  <c r="G14" i="3"/>
  <c r="G13" i="3"/>
  <c r="G16" i="3" s="1"/>
  <c r="C7" i="1" s="1"/>
  <c r="G10" i="3"/>
  <c r="G9" i="3"/>
  <c r="G11" i="3" s="1"/>
  <c r="C6" i="1" s="1"/>
  <c r="G6" i="3"/>
  <c r="G5" i="3"/>
  <c r="G7" i="3" s="1"/>
  <c r="G63" i="2"/>
  <c r="G62" i="2"/>
  <c r="G61" i="2"/>
  <c r="G60" i="2"/>
  <c r="G59" i="2"/>
  <c r="G58" i="2"/>
  <c r="G57" i="2"/>
  <c r="G64" i="2" s="1"/>
  <c r="B16" i="1" s="1"/>
  <c r="G54" i="2"/>
  <c r="G55" i="2" s="1"/>
  <c r="B15" i="1" s="1"/>
  <c r="G51" i="2"/>
  <c r="G52" i="2" s="1"/>
  <c r="B14" i="1" s="1"/>
  <c r="G48" i="2"/>
  <c r="G47" i="2"/>
  <c r="G46" i="2"/>
  <c r="G45" i="2"/>
  <c r="G44" i="2"/>
  <c r="G49" i="2" s="1"/>
  <c r="B13" i="1" s="1"/>
  <c r="G41" i="2"/>
  <c r="G40" i="2"/>
  <c r="G39" i="2"/>
  <c r="G38" i="2"/>
  <c r="G37" i="2"/>
  <c r="G36" i="2"/>
  <c r="G42" i="2" s="1"/>
  <c r="B12" i="1" s="1"/>
  <c r="G33" i="2"/>
  <c r="G32" i="2"/>
  <c r="G34" i="2" s="1"/>
  <c r="G29" i="2"/>
  <c r="G28" i="2"/>
  <c r="G27" i="2"/>
  <c r="G30" i="2" s="1"/>
  <c r="B10" i="1" s="1"/>
  <c r="G26" i="2"/>
  <c r="G25" i="2"/>
  <c r="G22" i="2"/>
  <c r="G21" i="2"/>
  <c r="G20" i="2"/>
  <c r="G19" i="2"/>
  <c r="G18" i="2"/>
  <c r="G23" i="2" s="1"/>
  <c r="B9" i="1" s="1"/>
  <c r="G15" i="2"/>
  <c r="G14" i="2"/>
  <c r="G13" i="2"/>
  <c r="G16" i="2" s="1"/>
  <c r="B7" i="1" s="1"/>
  <c r="G10" i="2"/>
  <c r="G9" i="2"/>
  <c r="G6" i="2"/>
  <c r="G5" i="2"/>
  <c r="G7" i="2" s="1"/>
  <c r="G58" i="4" l="1"/>
  <c r="D13" i="1" s="1"/>
  <c r="G28" i="4"/>
  <c r="G76" i="3"/>
  <c r="C16" i="1" s="1"/>
  <c r="G51" i="3"/>
  <c r="G11" i="2"/>
  <c r="F12" i="5"/>
  <c r="F18" i="5" s="1"/>
  <c r="F35" i="5" s="1"/>
  <c r="E18" i="5"/>
  <c r="G79" i="4"/>
  <c r="G81" i="4" s="1"/>
  <c r="D18" i="1" s="1"/>
  <c r="D11" i="1"/>
  <c r="D5" i="1"/>
  <c r="C11" i="1"/>
  <c r="C5" i="1"/>
  <c r="G67" i="2"/>
  <c r="G69" i="2" s="1"/>
  <c r="B18" i="1" s="1"/>
  <c r="B11" i="1"/>
  <c r="B5" i="1"/>
  <c r="D9" i="1" l="1"/>
  <c r="G78" i="4"/>
  <c r="C12" i="1"/>
  <c r="G79" i="3"/>
  <c r="G81" i="3" s="1"/>
  <c r="C18" i="1" s="1"/>
  <c r="G78" i="3"/>
  <c r="B6" i="1"/>
  <c r="G66" i="2"/>
  <c r="F36" i="5"/>
  <c r="F37" i="5"/>
  <c r="G83" i="4" l="1"/>
  <c r="D17" i="1"/>
  <c r="C17" i="1"/>
  <c r="G83" i="3"/>
  <c r="G71" i="2"/>
  <c r="B19" i="1" s="1"/>
  <c r="G72" i="2"/>
  <c r="B20" i="1" s="1"/>
  <c r="B17" i="1"/>
  <c r="B22" i="1"/>
  <c r="B23" i="1"/>
  <c r="C19" i="1"/>
  <c r="G84" i="3"/>
  <c r="C20" i="1" s="1"/>
  <c r="G84" i="4" l="1"/>
  <c r="D20" i="1" s="1"/>
  <c r="D19" i="1"/>
  <c r="C23" i="1"/>
  <c r="C22" i="1"/>
  <c r="D23" i="1" l="1"/>
  <c r="D22" i="1"/>
</calcChain>
</file>

<file path=xl/sharedStrings.xml><?xml version="1.0" encoding="utf-8"?>
<sst xmlns="http://schemas.openxmlformats.org/spreadsheetml/2006/main" count="1311" uniqueCount="407">
  <si>
    <t>Espaço Wellness do Esporte Clube Sírio: resumo do orçamento</t>
  </si>
  <si>
    <t>Valores em R$. Preços consultados em 29/10/2026. Cada linha das abas de cenário diz se o preço é Real (página do vendedor), Real (busca), Referência (SINAPI, tabela oficial) ou Estimativa.</t>
  </si>
  <si>
    <t>Grupo</t>
  </si>
  <si>
    <t>Essencial</t>
  </si>
  <si>
    <t>Recomendado</t>
  </si>
  <si>
    <t>Premium</t>
  </si>
  <si>
    <t>Banheiras de gelo</t>
  </si>
  <si>
    <t>Sauna seca finlandesa</t>
  </si>
  <si>
    <t>Sauna a vapor</t>
  </si>
  <si>
    <t>Sauna infravermelha</t>
  </si>
  <si>
    <t>Duchas de experiência e aquecimento de água</t>
  </si>
  <si>
    <t>Armários, bebedouro e lounge</t>
  </si>
  <si>
    <t>Pergolado e painel de privacidade</t>
  </si>
  <si>
    <t>Piso, impermeabilização e drenagem</t>
  </si>
  <si>
    <t>Infraestrutura e instalação</t>
  </si>
  <si>
    <t>Reforço estrutural (reserva)</t>
  </si>
  <si>
    <t>Segurança, iluminação, som e acesso</t>
  </si>
  <si>
    <t>Projeto, laudos e aprovações</t>
  </si>
  <si>
    <t>Subtotal</t>
  </si>
  <si>
    <t>BDI e administração da obra (15% sobre obra civil)</t>
  </si>
  <si>
    <t>Contingência (12%)</t>
  </si>
  <si>
    <t>TOTAL</t>
  </si>
  <si>
    <t>Teto do clube</t>
  </si>
  <si>
    <t>Folga em relação ao teto (negativo = acima)</t>
  </si>
  <si>
    <t>Custo por sócio (5000 sócios), investimento</t>
  </si>
  <si>
    <t>Orçamento detalhado, cenário Essencial</t>
  </si>
  <si>
    <t>Equipamentos nacionais, sem sauna infravermelha, lounge com o deck existente. Preços consultados em 29/10/2026. Azul = valor digitado (entrada); preto = fórmula.</t>
  </si>
  <si>
    <t>Item</t>
  </si>
  <si>
    <t>Fornecedor</t>
  </si>
  <si>
    <t>Qtd</t>
  </si>
  <si>
    <t>Un</t>
  </si>
  <si>
    <t>Unitário (R$)</t>
  </si>
  <si>
    <t>Total (R$)</t>
  </si>
  <si>
    <t>Tipo</t>
  </si>
  <si>
    <t>Base / observação</t>
  </si>
  <si>
    <t>Link</t>
  </si>
  <si>
    <t>Data da consulta</t>
  </si>
  <si>
    <t>Banheira de gelo Ice Flow Uno Intense, 290 L, 4 °C, ozônio e filtro, para 30+ usuários/dia</t>
  </si>
  <si>
    <t>Pretty Jet / Ice Flow</t>
  </si>
  <si>
    <t>un</t>
  </si>
  <si>
    <t>Real</t>
  </si>
  <si>
    <t>Preço PIX</t>
  </si>
  <si>
    <t>https://iceflow.com.br/precos</t>
  </si>
  <si>
    <t>29/10/2026</t>
  </si>
  <si>
    <t>Frete, nivelamento da base e ligação elétrica dedicada das banheiras</t>
  </si>
  <si>
    <t>Instalador</t>
  </si>
  <si>
    <t>Estimativa</t>
  </si>
  <si>
    <t>Valor de mercado para instalação simples; incerteza média</t>
  </si>
  <si>
    <t>Subtotal Banheiras de gelo</t>
  </si>
  <si>
    <t>Sala de sauna seca sob medida, 12 lugares (4,5 x 3,0 m), lambril de cedrinho, bancos em 2 níveis, porta de vidro, isolamento</t>
  </si>
  <si>
    <t>Marcenaria de saunas</t>
  </si>
  <si>
    <t>vb</t>
  </si>
  <si>
    <t>Ancorada na Móveis Deck (R$ 12.559/m² de projeção); faixa de R$ 120 mil a R$ 250 mil com aquecedor; incerteza média a alta</t>
  </si>
  <si>
    <t>https://www.moveisdeck.com.br/produtos/sauna-deck-completa-seca/</t>
  </si>
  <si>
    <t>Aquecedor elétrico 18 kW com quadro digital (até 55,5 m³)</t>
  </si>
  <si>
    <t>Globaltech Brasil (Impercap)</t>
  </si>
  <si>
    <t>Preço PIX/boleto</t>
  </si>
  <si>
    <t>https://www.globaltechbrasil.com/saunas/sauna-seca-eletrica-quadro-comando-digital-18kw-impercap-ate-55-5m</t>
  </si>
  <si>
    <t>Subtotal Sauna seca finlandesa</t>
  </si>
  <si>
    <t>Sala de vapor em alvenaria com pastilha, bancos e teto inclinado, 8 lugares (3,0 x 2,5 m)</t>
  </si>
  <si>
    <t>Construtora</t>
  </si>
  <si>
    <t>45 m² de pastilha (SINAPI 88789, R$ 433/m²) + impermeabilização, bancos, teto e instalações; incerteza média</t>
  </si>
  <si>
    <t>https://orcamentor.com/composicao/88789/</t>
  </si>
  <si>
    <t>Gerador de vapor Compact Line Inox 24 kW (até 40 m³)</t>
  </si>
  <si>
    <t>Globaltech Brasil (Sodramar)</t>
  </si>
  <si>
    <t>https://www.globaltechbrasil.com/saunas/sauna-a-vapor-compact-line-inox-24kw-sodramar-para-ate-40m</t>
  </si>
  <si>
    <t>Porta de aço inox 0,57 x 1,90 m com visor</t>
  </si>
  <si>
    <t>Sol e Água (Sodramar)</t>
  </si>
  <si>
    <t>Real (busca)</t>
  </si>
  <si>
    <t>Visto em busca; confirmar</t>
  </si>
  <si>
    <t>https://www.google.com/search?q=porta+de+vidro+temperado+para+sauna+a+vapor+OR+seca+pre%C3%A7o+Sodramar&amp;hl=pt-BR&amp;gl=br</t>
  </si>
  <si>
    <t>Subtotal Sauna a vapor</t>
  </si>
  <si>
    <t>Balde de água fria basculante em inox, sob medida</t>
  </si>
  <si>
    <t>Serralheria inox</t>
  </si>
  <si>
    <t>Não há produto nacional de catálogo; faixa de R$ 3 mil a R$ 8 mil; incerteza alta</t>
  </si>
  <si>
    <t>Misturador termostático para chuveiro de contraste (Decaterm 2430)</t>
  </si>
  <si>
    <t>Amazon (Deca)</t>
  </si>
  <si>
    <t>https://www.google.com/search?q=misturador+termost%C3%A1tico+chuveiro+parede+pre%C3%A7o+Deca+OR+Docol+OR+Hansgrohe&amp;hl=pt-BR&amp;gl=br</t>
  </si>
  <si>
    <t>Ducha cascata linear inox 304, 60 cm</t>
  </si>
  <si>
    <t>Cascatas &amp; Cia</t>
  </si>
  <si>
    <t>https://www.cascatasecia.com.br/produto/cascata-ducha-linear-em-inox-304-para-ambientes-externos-60cm-zgmmaiv6/</t>
  </si>
  <si>
    <t>Ducha coluna tubular inox 316 (higienização e ducha acessível)</t>
  </si>
  <si>
    <t>https://www.cascatasecia.com.br/produto/ducha-piscina-coluna-tubular-em-inox-316-c-001-cascatas-cia-i0glbe9o/</t>
  </si>
  <si>
    <t>Aquecedor a gás de passagem Rinnai REU E35, 35 L/min</t>
  </si>
  <si>
    <t>Multi Aquecedores</t>
  </si>
  <si>
    <t>Preço PIX; depende de ponto de gás no local</t>
  </si>
  <si>
    <t>https://loja.multiaquecedores.com.br/aquecedor-a-gas-rinnai-reu-e35-fea-35-litros-gn-ou-glp</t>
  </si>
  <si>
    <t>Subtotal Duchas de experiência e aquecimento de água</t>
  </si>
  <si>
    <t>Armários fenólicos TS 10 mm para área úmida, instalados</t>
  </si>
  <si>
    <t>Fabricante de divisórias TS</t>
  </si>
  <si>
    <t>porta</t>
  </si>
  <si>
    <t>Chapa TS a cerca de R$ 600/m² + ferragens inox e montagem; faixa R$ 900 a R$ 1.800; incerteza alta</t>
  </si>
  <si>
    <t>https://www.google.com/search?q=divis%C3%B3ria+sanit%C3%A1ria+fen%C3%B3lica+TS+10mm+pre%C3%A7o+m2&amp;hl=pt-BR&amp;gl=br</t>
  </si>
  <si>
    <t>Bebedouro industrial inox 50 L, água gelada (Libell LIC050)</t>
  </si>
  <si>
    <t>Dutra Máquinas</t>
  </si>
  <si>
    <t>https://www.google.com/search?q=bebedouro+industrial+inox+50+litros+%C3%A1gua+gelada+pre%C3%A7o+IBBL+OR+Libell+OR+Venax&amp;hl=pt-BR&amp;gl=br</t>
  </si>
  <si>
    <t>Espreguiçadeira Tramontina Leblon (kit com 6)</t>
  </si>
  <si>
    <t>Loja do Mecânico</t>
  </si>
  <si>
    <t>kit</t>
  </si>
  <si>
    <t>https://www.lojadomecanico.com.br/produto/74017/59/513/espreguicadeira-leblon-branca-tramontina-92256010</t>
  </si>
  <si>
    <t>Sofá externo 3 lugares, alumínio e corda náutica (Arte Mobiliário Vip)</t>
  </si>
  <si>
    <t>Arte Mobiliário</t>
  </si>
  <si>
    <t>Visto em busca; frete à parte</t>
  </si>
  <si>
    <t>https://www.google.com/search?q=sof%C3%A1+%C3%A1rea+externa+alum%C3%ADnio+corda+n%C3%A1utica+3+lugares+estofado+imperme%C3%A1vel+pre%C3%A7o&amp;hl=pt-BR&amp;gl=br</t>
  </si>
  <si>
    <t>Toalheiros, lixeiras, relógios de parede e comunicação visual</t>
  </si>
  <si>
    <t>Diversos</t>
  </si>
  <si>
    <t>Verba</t>
  </si>
  <si>
    <t>Subtotal Armários, bebedouro e lounge</t>
  </si>
  <si>
    <t>Pergolado de madeira sobre as banheiras</t>
  </si>
  <si>
    <t>SINAPI 103315</t>
  </si>
  <si>
    <t>m²</t>
  </si>
  <si>
    <t>Referência</t>
  </si>
  <si>
    <t>Composição SINAPI 09/2026, média nacional</t>
  </si>
  <si>
    <t>https://orcamentor.com/composicao/103315/</t>
  </si>
  <si>
    <t>Painel de privacidade ripado em madeira tratada, 2,2 m de altura, instalado</t>
  </si>
  <si>
    <t>Serralheria e marcenaria</t>
  </si>
  <si>
    <t>Faixa de R$ 700 a R$ 1.500/m² instalado; incerteza média</t>
  </si>
  <si>
    <t>https://www.ripatto.com.br</t>
  </si>
  <si>
    <t>Subtotal Pergolado e painel de privacidade</t>
  </si>
  <si>
    <t>Demolição do deck na zona molhada e descarte</t>
  </si>
  <si>
    <t>Mão de obra e caçamba; incerteza média</t>
  </si>
  <si>
    <t>Regularização com caimento de 1% a 2% para os ralos</t>
  </si>
  <si>
    <t>Contrapiso armado; incerteza média</t>
  </si>
  <si>
    <t>Impermeabilização com manta asfáltica 4 mm</t>
  </si>
  <si>
    <t>SINAPI 98546</t>
  </si>
  <si>
    <t>Composição SINAPI 09/2026</t>
  </si>
  <si>
    <t>https://orcamentor.com/composicao/98546/</t>
  </si>
  <si>
    <t>Proteção mecânica 3 cm</t>
  </si>
  <si>
    <t>SINAPI 98565</t>
  </si>
  <si>
    <t>https://orcamentor.com/composicao/98565/</t>
  </si>
  <si>
    <t>Porcelanato externo antiderrapante 60 x 60 assentado (exigir R11)</t>
  </si>
  <si>
    <t>SINAPI 87263</t>
  </si>
  <si>
    <t>Composição SINAPI 09/2026 com material e mão de obra</t>
  </si>
  <si>
    <t>https://orcamentor.com/composicao/87263/</t>
  </si>
  <si>
    <t>Ralo linear inox 100 cm</t>
  </si>
  <si>
    <t>Leroy Merlin</t>
  </si>
  <si>
    <t>https://www.google.com/search?q=ralo+linear+inox+100+cm+%C3%A1rea+externa+pre%C3%A7o&amp;hl=pt-BR&amp;gl=br</t>
  </si>
  <si>
    <t>Subtotal Piso, impermeabilização e drenagem</t>
  </si>
  <si>
    <t>Elétrica: ramal trifásico dedicado (60 a 90 kW), quadro com DR, aterramento equipotencial e iluminação de serviço</t>
  </si>
  <si>
    <t>Instaladora elétrica</t>
  </si>
  <si>
    <t>Horas SINAPI de eletricista (R$ 45,13/h) + cabos e quadros; depende da distância ao quadro geral; incerteza alta</t>
  </si>
  <si>
    <t>https://orcamentor.com/composicao/88264/</t>
  </si>
  <si>
    <t>Hidráulica: água fria e quente, esgoto, pluvial e ligação das banheiras</t>
  </si>
  <si>
    <t>Instaladora hidráulica</t>
  </si>
  <si>
    <t>Horas SINAPI de encanador (R$ 40,92/h) + tubulações; incerteza alta</t>
  </si>
  <si>
    <t>https://orcamentor.com/composicao/88267/</t>
  </si>
  <si>
    <t>Exaustão e ventilação das saunas</t>
  </si>
  <si>
    <t>Instaladora</t>
  </si>
  <si>
    <t>Dutos, grelhas e exaustor temporizado</t>
  </si>
  <si>
    <t>Casa de máquinas compacta e ventilada</t>
  </si>
  <si>
    <t>Abrigo para quadros, aquecedor e gerador</t>
  </si>
  <si>
    <t>Montagem e comissionamento dos equipamentos</t>
  </si>
  <si>
    <t>Fornecedores e instaladora</t>
  </si>
  <si>
    <t>10% a 20% do valor dos equipamentos nacionais</t>
  </si>
  <si>
    <t>Subtotal Infraestrutura e instalação</t>
  </si>
  <si>
    <t>Reserva para reforço estrutural do deck, se o laudo indicar</t>
  </si>
  <si>
    <t>Só é usada se o laudo pedir; incerteza alta</t>
  </si>
  <si>
    <t>Subtotal Reforço estrutural (reserva)</t>
  </si>
  <si>
    <t>Botões de emergência, termostatos de segurança, timers, sinalização de regras e kit de primeiros socorros</t>
  </si>
  <si>
    <t>Subtotal Segurança, iluminação, som e acesso</t>
  </si>
  <si>
    <t>Levantamento planialtimétrico e cadastral</t>
  </si>
  <si>
    <t>Topografia</t>
  </si>
  <si>
    <t>Valor de mercado; incerteza média</t>
  </si>
  <si>
    <t>Laudo estrutural com ART (inspeção e verificação de cargas)</t>
  </si>
  <si>
    <t>Escritório de estruturas</t>
  </si>
  <si>
    <t>Faixa de R$ 8 mil a R$ 30 mil; incerteza alta</t>
  </si>
  <si>
    <t>https://trt16.jus.br/site/conteudo/licitacao/view/lic_inteiro_teor_mapa.view.php?id=9634</t>
  </si>
  <si>
    <t>Projeto de arquitetura, executivo e complementares</t>
  </si>
  <si>
    <t>Escritório de arquitetura</t>
  </si>
  <si>
    <t>5% a 12% do custo da obra; incerteza alta</t>
  </si>
  <si>
    <t>https://www.cronoshare.com.br/quanto-custa/projeto-arquitetura/sao-paulo</t>
  </si>
  <si>
    <t>Alvará de Aprovação de Reforma (R$ 6,97/m²)</t>
  </si>
  <si>
    <t>Prefeitura de São Paulo</t>
  </si>
  <si>
    <t>Tabela oficial a partir de 02/02/2026</t>
  </si>
  <si>
    <t>https://prefeitura.sp.gov.br/documents/d/licenciamento/tabela_fev-2026_definitiva-pdf</t>
  </si>
  <si>
    <t>Alvará de Execução de Reforma</t>
  </si>
  <si>
    <t>Projeto técnico e atualização do AVCB</t>
  </si>
  <si>
    <t>Engenharia de incêndio</t>
  </si>
  <si>
    <t>Faixa de R$ 5 mil a R$ 25 mil; incerteza alta</t>
  </si>
  <si>
    <t>https://engefogo.com.br/avcb-e-clcb/quanto-custa</t>
  </si>
  <si>
    <t>Taxas do Corpo de Bombeiros (análise e vistoria)</t>
  </si>
  <si>
    <t>Corpo de Bombeiros SP</t>
  </si>
  <si>
    <t>taxa</t>
  </si>
  <si>
    <t>3,84 UFESP (R$ 38,42) por taxa para até 750 m²</t>
  </si>
  <si>
    <t>https://www.legisweb.com.br/legislacao/?id=357293</t>
  </si>
  <si>
    <t>Subtotal Projeto, laudos e aprovações</t>
  </si>
  <si>
    <t>Subtotal (todos os grupos)</t>
  </si>
  <si>
    <t>Base de obra civil para BDI (cobertura, piso, infraestrutura, estrutura, segurança)</t>
  </si>
  <si>
    <t>Taxa de BDI e administração da obra</t>
  </si>
  <si>
    <t>BDI e administração da obra</t>
  </si>
  <si>
    <t>Taxa de contingência (faixa pedida de 10% a 15%)</t>
  </si>
  <si>
    <t>Contingência</t>
  </si>
  <si>
    <t>TOTAL DO CENÁRIO</t>
  </si>
  <si>
    <t>Orçamento detalhado, cenário Recomendado</t>
  </si>
  <si>
    <t>Sauna seca para 16, infravermelho, banheiras de 2 pessoas com vidro, iluminação cênica e controle de acesso. Preços consultados em 29/10/2026. Azul = valor digitado (entrada); preto = fórmula.</t>
  </si>
  <si>
    <t>Banheira de gelo Ice Flow Glass para 2 pessoas, 195 x 90 cm, lateral de vidro, 4 °C</t>
  </si>
  <si>
    <t>Sala de sauna seca sob medida, 16 lugares, bancos em 3 níveis, janela panorâmica, iluminação LED quente</t>
  </si>
  <si>
    <t>Ancorada na Móveis Deck; faixa de R$ 120 mil a R$ 250 mil; incerteza média a alta</t>
  </si>
  <si>
    <t>Aquecedor elétrico 27 kW com comando Wi-Fi</t>
  </si>
  <si>
    <t>Piscinacenter (Impercap)</t>
  </si>
  <si>
    <t>Visto em busca, à vista; confirmar</t>
  </si>
  <si>
    <t>https://www.google.com/search?q=sauna+seca+finlandesa+montada+pre%C3%A7o+por+m2+madeira+cedro&amp;hl=pt-BR&amp;gl=br</t>
  </si>
  <si>
    <t>Sala de vapor com pastilha de porcelana, bancos ergonômicos e teto inclinado, 8 lugares</t>
  </si>
  <si>
    <t>Faixa de R$ 70 mil a R$ 150 mil; incerteza média</t>
  </si>
  <si>
    <t>Gerador de vapor 24 kW inox com comando digital</t>
  </si>
  <si>
    <t>https://www.globaltechbrasil.com/saunas/sauna-vapor-eletrica-24kw-inox-comando-digital-impercap</t>
  </si>
  <si>
    <t>Sauna infravermelha Kiva Radiance full spectrum, 4 pessoas</t>
  </si>
  <si>
    <t>Kiva Wellness Brasil</t>
  </si>
  <si>
    <t>Preço cheio; garantia comercial de 1 ano</t>
  </si>
  <si>
    <t>https://kivawellness.com.br/products/sauna-4-pessoas-infravermelho-full-spectrum</t>
  </si>
  <si>
    <t>Abrigo fechado e ventilado para a cabine infravermelha</t>
  </si>
  <si>
    <t>Marcenaria</t>
  </si>
  <si>
    <t>Cabine é de uso interno e precisa de abrigo ao ar livre</t>
  </si>
  <si>
    <t>Subtotal Sauna infravermelha</t>
  </si>
  <si>
    <t>Balde de água fria TylöHelo (importado, internado)</t>
  </si>
  <si>
    <t>esaunashop (UE)</t>
  </si>
  <si>
    <t>Estimativa sobre preço real</t>
  </si>
  <si>
    <t>€ 1.075 + frete + impostos (fator de cerca de 2,1)</t>
  </si>
  <si>
    <t>https://esaunashop.com/tylohelo-cold-shower-bucket</t>
  </si>
  <si>
    <t>Misturador termostático para chuveiros de contraste (Decaterm 2430)</t>
  </si>
  <si>
    <t>Ducha cascata linear inox 304, 100 cm</t>
  </si>
  <si>
    <t>https://www.cascatasecia.com.br/produto/cascata-ducha-linear-em-inox-304-para-ambientes-externos-100cm-28v9y5ft/</t>
  </si>
  <si>
    <t>Cascata chuva inox 316 de embutir com LED</t>
  </si>
  <si>
    <t>Tropical Cascatas</t>
  </si>
  <si>
    <t>Preço à vista</t>
  </si>
  <si>
    <t>https://tropicalcascatas.com.br/produto/cascata-chuva-inox-de-embutir-led/</t>
  </si>
  <si>
    <t>Bomba de calor para banho Fromtherm FH40, água a 60 °C</t>
  </si>
  <si>
    <t>Globaltech Brasil</t>
  </si>
  <si>
    <t>https://www.globaltechbrasil.com/5067-bomba-de-calor-para-banho-fromtherm-fh40-60</t>
  </si>
  <si>
    <t>Reservatório térmico 500 L</t>
  </si>
  <si>
    <t>Sem preço público; faixa de R$ 6 mil a R$ 15 mil</t>
  </si>
  <si>
    <t>Armários fenólicos TS 10 mm com fechadura eletrônica, instalados</t>
  </si>
  <si>
    <t>Faixa R$ 900 a R$ 1.800 por porta; incerteza alta</t>
  </si>
  <si>
    <t>Bebedouro industrial inox 50 L com filtro (Venâncio BI50L)</t>
  </si>
  <si>
    <t>Extra</t>
  </si>
  <si>
    <t>https://www.extra.com.br/kit-bebedouro-industrial-50-litros-refrigerado-inox-bi50l-220v-filtro-venancio/p/1579422979</t>
  </si>
  <si>
    <t>Espreguiçadeira de alumínio e corda náutica (Kiev)</t>
  </si>
  <si>
    <t>https://www.google.com/search?q=espregui%C3%A7adeira+alum%C3%ADnio+piscina+fibra+sint%C3%A9tica+OR+corda+n%C3%A1utica+pre%C3%A7o&amp;hl=pt-BR&amp;gl=br</t>
  </si>
  <si>
    <t>Sofá externo 3 lugares com espuma para área externa (Sulvimes Acapulco)</t>
  </si>
  <si>
    <t>Sulvimes</t>
  </si>
  <si>
    <t>Toalheiros, lixeiras, chá e água, paisagismo e comunicação visual</t>
  </si>
  <si>
    <t>Pergolado de alumínio com policarbonato alveolar sobre banheiras e duchas</t>
  </si>
  <si>
    <t>Serralheria</t>
  </si>
  <si>
    <t>Guias de mercado: R$ 680 a R$ 1.100/m²</t>
  </si>
  <si>
    <t>https://www.google.com/search?q=pergolado+alum%C3%ADnio+pre%C3%A7o+m2+instalado+2026&amp;hl=pt-BR&amp;gl=br</t>
  </si>
  <si>
    <t>Painel de privacidade ripado de alumínio, 2,2 m de altura, instalado</t>
  </si>
  <si>
    <t>Ripatto e serralheria</t>
  </si>
  <si>
    <t>Material R$ 575/m² (real, busca) + estrutura e montagem</t>
  </si>
  <si>
    <t>Incerteza média</t>
  </si>
  <si>
    <t>Porcelanato externo Portobello Oasi Duna 90 x 90 (exigir R11), com 10% de perda</t>
  </si>
  <si>
    <t>Telhanorte</t>
  </si>
  <si>
    <t>Preço da página</t>
  </si>
  <si>
    <t>https://www.telhanorte.com.br/porcelanato-oasi-duna-90x90-ext-ret-cx-2-42-m2-portobello-2547929/p</t>
  </si>
  <si>
    <t>Assentamento do porcelanato (mão de obra e argamassa)</t>
  </si>
  <si>
    <t>Ralo linear inox Royal 100 cm</t>
  </si>
  <si>
    <t>Ralo Linear</t>
  </si>
  <si>
    <t>https://www.ralolinear.com.br</t>
  </si>
  <si>
    <t>Deck WPC tipo ipê no lounge</t>
  </si>
  <si>
    <t>deckdeck (In Brasil)</t>
  </si>
  <si>
    <t>Preço por m² da página</t>
  </si>
  <si>
    <t>https://deckdeck.com.br/produto/deck-ecologico-in-brasil-tipo-ype-02-pecas-32x150x3000-090-m2-a-caixa/</t>
  </si>
  <si>
    <t>Instalação do deck WPC</t>
  </si>
  <si>
    <t>Incerteza alta</t>
  </si>
  <si>
    <t>Abrigo para quadros, bomba de calor e gerador</t>
  </si>
  <si>
    <t>10% a 20% do valor dos equipamentos</t>
  </si>
  <si>
    <t>Botões de emergência, termostatos de segurança, timers, sinalização e primeiros socorros</t>
  </si>
  <si>
    <t>Iluminação cênica LED quente (cerca de 2200 K) e balizadores</t>
  </si>
  <si>
    <t>Luminotécnica</t>
  </si>
  <si>
    <t>Som ambiente para sessões guiadas</t>
  </si>
  <si>
    <t>Áudio</t>
  </si>
  <si>
    <t>Controle de acesso com reserva de horário (leitor da carteirinha e tablet)</t>
  </si>
  <si>
    <t>Integradora</t>
  </si>
  <si>
    <t>Pode usar o sistema do clube; verba</t>
  </si>
  <si>
    <t>Projeto de arquitetura, executivo, luminotécnico e complementares</t>
  </si>
  <si>
    <t>3,84 UFESP por taxa</t>
  </si>
  <si>
    <t>Orçamento detalhado, cenário Premium</t>
  </si>
  <si>
    <t>Banheiras e aquecedores importados, pérgolas bioclimáticas e acabamentos em pedra. Passa do teto. Preços consultados em 29/10/2026. Azul = valor digitado (entrada); preto = fórmula.</t>
  </si>
  <si>
    <t>Banheira de gelo Plunge All-In Commercial, filtro NSF50, ozônio (importada, internada)</t>
  </si>
  <si>
    <t>Plunge (EUA)</t>
  </si>
  <si>
    <t>US$ 12.990 + frete US$ 1.500 + impostos e despesas</t>
  </si>
  <si>
    <t>https://business.plunge.com/products/plunge-all-in-commercial</t>
  </si>
  <si>
    <t>Frete interno, base e ligação elétrica dedicada das banheiras</t>
  </si>
  <si>
    <t>Sala de sauna seca premium sob projeto, 16 lugares, madeira termotratada e vidro panorâmico</t>
  </si>
  <si>
    <t>Fabricante sob orçamento</t>
  </si>
  <si>
    <t>Sem preço público; incerteza alta</t>
  </si>
  <si>
    <t>Aquecedor Harvia Virta Pro 20 kW com comando Xenio e pedras (importado, internado)</t>
  </si>
  <si>
    <t>Topture (EUA)</t>
  </si>
  <si>
    <t>Kit US$ 7.207 + frete + impostos</t>
  </si>
  <si>
    <t>https://topture.com/products/harvia-virta-pro-series-sauna-heater-20kw</t>
  </si>
  <si>
    <t>Sala de vapor premium com pedra natural, bancos aquecidos e teto abobadado</t>
  </si>
  <si>
    <t>Faixa de R$ 150 mil a R$ 250 mil no premium; incerteza alta</t>
  </si>
  <si>
    <t>Gerador Tylö Steam Commercial 15 kW com comando Elite (importado, internado)</t>
  </si>
  <si>
    <t>Pool and Spa Centre (UK)</t>
  </si>
  <si>
    <t>£ 5.636 + frete + impostos</t>
  </si>
  <si>
    <t>https://www.poolandspacentre.co.uk/tylo-steam-commercial-generator.html</t>
  </si>
  <si>
    <t>Sauna infravermelha Clearlight Sanctuary Retreat full spectrum, 3 a 4 pessoas (importada, internada)</t>
  </si>
  <si>
    <t>Clearlight (loja oficial, EUA)</t>
  </si>
  <si>
    <t>US$ 9.499 (basswood) + frete US$ 1.500 + impostos e 6% de despesas</t>
  </si>
  <si>
    <t>https://healwithheat.com/sanctuary-retreat/</t>
  </si>
  <si>
    <t>€ 1.075 + frete + impostos</t>
  </si>
  <si>
    <t>Ducha cascata linear inox 304, 300 cm</t>
  </si>
  <si>
    <t>https://www.cascatasecia.com.br/produto/cascata-ducha-linear-em-inox-304-para-ambientes-externos-300cm-a79tdhm7/</t>
  </si>
  <si>
    <t>Bomba de calor para banho Fromtherm FH80, água a 60 °C</t>
  </si>
  <si>
    <t>https://www.globaltechbrasil.com/7009-bomba-de-calor-para-banho-fromtherm-fh80-60o</t>
  </si>
  <si>
    <t>Reservatório térmico 1.000 L</t>
  </si>
  <si>
    <t>Armários em inox 304 com fechadura eletrônica, instalados</t>
  </si>
  <si>
    <t>Sob encomenda</t>
  </si>
  <si>
    <t>Faixa de R$ 2 mil a R$ 4 mil por porta; incerteza alta</t>
  </si>
  <si>
    <t>Espreguiçadeira premium de alumínio e corda náutica (Noronha)</t>
  </si>
  <si>
    <t>Decor'Da Móveis</t>
  </si>
  <si>
    <t>Sofá externo 3 lugares alto padrão (CarmelaBlend Maldivas)</t>
  </si>
  <si>
    <t>CarmelaBlend</t>
  </si>
  <si>
    <t>Toalheiros aquecidos, chá e água, paisagismo e comunicação visual</t>
  </si>
  <si>
    <t>Pérgola bioclimática de lâminas 4 x 5 m (Pergolux)</t>
  </si>
  <si>
    <t>Pergolux Brasil</t>
  </si>
  <si>
    <t>Visto em busca; montagem à parte</t>
  </si>
  <si>
    <t>Montagem e fixação das pérgolas</t>
  </si>
  <si>
    <t>Painel de privacidade em alumínio ripado com vidro jateado, instalado</t>
  </si>
  <si>
    <t>Faixa de R$ 700 a R$ 1.500/m²</t>
  </si>
  <si>
    <t>Elétrica: ramal trifásico dedicado (até 100 kW), quadro com DR, aterramento equipotencial</t>
  </si>
  <si>
    <t>Iluminação cênica LED quente com automação de cenas</t>
  </si>
  <si>
    <t>Som ambiente multizona</t>
  </si>
  <si>
    <t>Controle de acesso com reserva de horário e catraca</t>
  </si>
  <si>
    <t>Custo operacional mensal estimado (cenário Recomendado)</t>
  </si>
  <si>
    <t>Azul = premissa editável. Todos os valores são estimativas com a base indicada.</t>
  </si>
  <si>
    <t>Premissa</t>
  </si>
  <si>
    <t>Valor</t>
  </si>
  <si>
    <t>Base</t>
  </si>
  <si>
    <t>Tarifa de energia B3 com tributos (R$/kWh)</t>
  </si>
  <si>
    <t>Enel SP, B3 R$ 0,789 sem tributos desde 04/07/2026; com ICMS e PIS/COFINS R$ 1,02 a R$ 1,08</t>
  </si>
  <si>
    <t>https://calculadoraenergia.com.br/tarifa/enel-sp</t>
  </si>
  <si>
    <t>Água e esgoto comercial (R$/m³, acima de 50 m³)</t>
  </si>
  <si>
    <t>Sabesp/ARSESP, vigência jan/2026</t>
  </si>
  <si>
    <t>https://www.arsesp.sp.gov.br/Documentosgerais/NT_1__REAJUSTE_TARIFARIO_DA_SABESP__Tarifa_Aplicacao___URAE1___assinado.pdf</t>
  </si>
  <si>
    <t>Horas de funcionamento por dia</t>
  </si>
  <si>
    <t>Premissa: 8 h às 22 h</t>
  </si>
  <si>
    <t>Visitas por dia (ocupação média de 40%)</t>
  </si>
  <si>
    <t>Cálculo da capacidade: 30 pessoas por hora x 14 h x 40%</t>
  </si>
  <si>
    <t>Custo de um posto terceirizado de 44 h (R$/mês)</t>
  </si>
  <si>
    <t>Faixa de R$ 4.500 a R$ 6.500 com encargos</t>
  </si>
  <si>
    <t>https://www.al.sp.gov.br/spl/2026/05/Acessorio/1000690012_1000859822_Acessorio.pdf</t>
  </si>
  <si>
    <t>Energia</t>
  </si>
  <si>
    <t>kW</t>
  </si>
  <si>
    <t>Fração de uso</t>
  </si>
  <si>
    <t>Horas/dia</t>
  </si>
  <si>
    <t>kWh/mês</t>
  </si>
  <si>
    <t>Custo (R$/mês)</t>
  </si>
  <si>
    <t>Sauna seca (aquecedor)</t>
  </si>
  <si>
    <t>Sauna a vapor (gerador)</t>
  </si>
  <si>
    <t>4 chillers das banheiras</t>
  </si>
  <si>
    <t>Bomba de calor das duchas</t>
  </si>
  <si>
    <t>Iluminação, bombas, exaustão e bebedouro</t>
  </si>
  <si>
    <t>Total energia</t>
  </si>
  <si>
    <t>Água e esgoto</t>
  </si>
  <si>
    <t>m³/mês</t>
  </si>
  <si>
    <t>Duchas (2 por visita, 25 L cada)</t>
  </si>
  <si>
    <t>Troca de água das banheiras (semanal)</t>
  </si>
  <si>
    <t>Limpeza</t>
  </si>
  <si>
    <t>Total água e esgoto</t>
  </si>
  <si>
    <t>Pessoal e manutenção</t>
  </si>
  <si>
    <t>Postos</t>
  </si>
  <si>
    <t>Atendentes (2,5 postos para cobrir 14 h por dia, 7 dias)</t>
  </si>
  <si>
    <t>Limpeza (1 posto)</t>
  </si>
  <si>
    <t>Manutenção preventiva de saunas e chillers</t>
  </si>
  <si>
    <t>Faixa de R$ 800 a R$ 2.500/mês; estimativa</t>
  </si>
  <si>
    <t>Filtros, ozônio, cloro e química das banheiras</t>
  </si>
  <si>
    <t>Refil de filtro R$ 80 (Ice Flow) trocado a cada 15 dias em uso comercial + química</t>
  </si>
  <si>
    <t>Reserva para reposição (pedras, resistências, peças)</t>
  </si>
  <si>
    <t>Total pessoal e manutenção</t>
  </si>
  <si>
    <t>CUSTO OPERACIONAL MENSAL</t>
  </si>
  <si>
    <t>Por sócio por mês (5000 sócios)</t>
  </si>
  <si>
    <t>Por visita</t>
  </si>
  <si>
    <t>Fora do total: lavanderia de toalhas, se o clube fornecer (cerca de R$ 2,50 por visita). Parte da água das duchas já é consumida hoje pelos sócios na piscina.</t>
  </si>
  <si>
    <t>Cronograma por fases (semanas a partir da aprovação no comitê)</t>
  </si>
  <si>
    <t>Semana 1 = 04/01/2027 se o comitê aprovar até dezembro de 2026. Inauguração prevista na semana 39 (fim de setembro de 2027).</t>
  </si>
  <si>
    <t>Fase</t>
  </si>
  <si>
    <t>Início (semana)</t>
  </si>
  <si>
    <t>Duração (semanas)</t>
  </si>
  <si>
    <t>Fim (semana)</t>
  </si>
  <si>
    <t>Levantamento e laudo estrutural</t>
  </si>
  <si>
    <t>Projeto executivo e complementares</t>
  </si>
  <si>
    <t>Aprovações: Prefeitura, Bombeiros e Vigilância Sanitária</t>
  </si>
  <si>
    <t>Compra e fabricação dos equipamentos nacionais</t>
  </si>
  <si>
    <t>Importados, só no Premium (60 a 120 dias)</t>
  </si>
  <si>
    <t>Demolição do deck e preparo</t>
  </si>
  <si>
    <t>Reforço estrutural, se o laudo pedir</t>
  </si>
  <si>
    <t>Infraestrutura hidráulica e elétrica</t>
  </si>
  <si>
    <t>Impermeabilização e teste de estanqueidade</t>
  </si>
  <si>
    <t>Piso, pergolado e painéis de privacidade</t>
  </si>
  <si>
    <t>Instalação das saunas, banheiras e duchas</t>
  </si>
  <si>
    <t>Acabamentos, mobiliário e paisagismo</t>
  </si>
  <si>
    <t>Testes, ajustes e treinamento da equipe</t>
  </si>
  <si>
    <t>Inauguração</t>
  </si>
  <si>
    <t>Fontes e tipos de preço</t>
  </si>
  <si>
    <t>Significado</t>
  </si>
  <si>
    <t>Preço público lido na página do vendedor em 29/10/2026.</t>
  </si>
  <si>
    <t>Preço visto no Google Shopping ou em resultado de busca; a página do vendedor bloqueia leitura automática. Confirmar antes de comprar.</t>
  </si>
  <si>
    <t>Tabela oficial ou índice: SINAPI 09/2026, CUB SindusCon-SP set/2026, tarifas, taxas, PTAX.</t>
  </si>
  <si>
    <t>Sem preço público. Base e incerteza descritas na linha.</t>
  </si>
  <si>
    <t>Importado: preço real de origem + frete + II, IPI, PIS/COFINS e ICMS-SP + 6% de despesas. PTAX 29/10/2026: US$ 1 = R$ 5,3744; € 1 = R$ 6,00; £ 1 = R$ 7,1899.</t>
  </si>
  <si>
    <t>CUB R8-N set/2026</t>
  </si>
  <si>
    <t>R$ 2.238,58/m² sem desoneração (SindusCon-SP), usado como referência de custo de obra.</t>
  </si>
  <si>
    <t>Links usados</t>
  </si>
  <si>
    <t>https://gelohealth.com.br/collections/all</t>
  </si>
  <si>
    <t>https://larpontual.com.br/portal/o-que-faz-um-engenheiro-civil</t>
  </si>
  <si>
    <t>https://sindusconsp.com.br/servicos/cub/</t>
  </si>
  <si>
    <t>https://www.moveisdeck.com.br/produtos/sauna-deck-versatil-vapor/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</si>
</sst>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\(&quot;R$&quot;\ #,##0.00\);\-"/>
    <numFmt numFmtId="165" formatCode="0.0%"/>
    <numFmt numFmtId="166" formatCode="&quot;R$&quot;\ #,##0;\(&quot;R$&quot;\ #,##0\);\-"/>
  </numFmts>
  <fonts count="9" x14ac:knownFonts="1">
    <font>
      <sz val="11"/>
      <color theme="1"/>
      <name val="Calibri"/>
      <family val="2"/>
      <scheme val="minor"/>
    </font>
    <font>
      <b/>
      <sz val="14"/>
      <color rgb="FFB71C1C"/>
      <name val="Arial"/>
    </font>
    <font>
      <sz val="11"/>
      <name val="Arial"/>
    </font>
    <font>
      <b/>
      <sz val="11"/>
      <color rgb="FFFFFFFF"/>
      <name val="Arial"/>
    </font>
    <font>
      <sz val="11"/>
      <color rgb="FF0000FF"/>
      <name val="Arial"/>
    </font>
    <font>
      <u/>
      <sz val="11"/>
      <color rgb="FF0563C1"/>
      <name val="Arial"/>
    </font>
    <font>
      <b/>
      <sz val="11"/>
      <name val="Arial"/>
    </font>
    <font>
      <sz val="11"/>
      <color rgb="FF008000"/>
      <name val="Arial"/>
    </font>
    <font>
      <b/>
      <sz val="11"/>
      <color rgb="FF008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B71C1C"/>
      </patternFill>
    </fill>
    <fill>
      <patternFill patternType="solid">
        <fgColor rgb="FFF5E6E6"/>
      </patternFill>
    </fill>
    <fill>
      <patternFill patternType="solid">
        <fgColor rgb="FFEEEEEE"/>
      </patternFill>
    </fill>
    <fill>
      <patternFill patternType="solid">
        <fgColor rgb="FFD32F2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166" fontId="7" fillId="0" borderId="0" xfId="0" applyNumberFormat="1" applyFont="1"/>
    <xf numFmtId="166" fontId="2" fillId="0" borderId="0" xfId="0" applyNumberFormat="1" applyFont="1"/>
    <xf numFmtId="0" fontId="6" fillId="0" borderId="0" xfId="0" applyFont="1"/>
    <xf numFmtId="166" fontId="8" fillId="0" borderId="0" xfId="0" applyNumberFormat="1" applyFont="1"/>
    <xf numFmtId="166" fontId="8" fillId="4" borderId="0" xfId="0" applyNumberFormat="1" applyFont="1" applyFill="1"/>
    <xf numFmtId="166" fontId="4" fillId="0" borderId="0" xfId="0" applyNumberFormat="1" applyFont="1"/>
    <xf numFmtId="164" fontId="2" fillId="0" borderId="0" xfId="0" applyNumberFormat="1" applyFont="1"/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164" fontId="4" fillId="0" borderId="1" xfId="0" applyNumberFormat="1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3" borderId="0" xfId="0" applyFont="1" applyFill="1"/>
    <xf numFmtId="0" fontId="0" fillId="3" borderId="0" xfId="0" applyFill="1"/>
    <xf numFmtId="164" fontId="6" fillId="3" borderId="0" xfId="0" applyNumberFormat="1" applyFont="1" applyFill="1"/>
    <xf numFmtId="164" fontId="6" fillId="0" borderId="0" xfId="0" applyNumberFormat="1" applyFont="1"/>
    <xf numFmtId="165" fontId="4" fillId="0" borderId="0" xfId="0" applyNumberFormat="1" applyFont="1"/>
    <xf numFmtId="0" fontId="0" fillId="4" borderId="0" xfId="0" applyFill="1"/>
    <xf numFmtId="0" fontId="6" fillId="4" borderId="0" xfId="0" applyFont="1" applyFill="1"/>
    <xf numFmtId="164" fontId="6" fillId="4" borderId="0" xfId="0" applyNumberFormat="1" applyFont="1" applyFill="1"/>
    <xf numFmtId="0" fontId="4" fillId="0" borderId="0" xfId="0" applyFont="1"/>
    <xf numFmtId="0" fontId="5" fillId="0" borderId="0" xfId="0" applyFont="1"/>
    <xf numFmtId="9" fontId="4" fillId="0" borderId="0" xfId="0" applyNumberFormat="1" applyFont="1"/>
    <xf numFmtId="3" fontId="0" fillId="0" borderId="0" xfId="0" applyNumberFormat="1"/>
    <xf numFmtId="164" fontId="0" fillId="0" borderId="0" xfId="0" applyNumberFormat="1"/>
    <xf numFmtId="164" fontId="4" fillId="0" borderId="0" xfId="0" applyNumberFormat="1" applyFont="1"/>
    <xf numFmtId="0" fontId="3" fillId="2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ascatasecia.com.br/produto/cascata-ducha-linear-em-inox-304-para-ambientes-externos-60cm-zgmmaiv6/" TargetMode="External"/><Relationship Id="rId13" Type="http://schemas.openxmlformats.org/officeDocument/2006/relationships/hyperlink" Target="https://www.lojadomecanico.com.br/produto/74017/59/513/espreguicadeira-leblon-branca-tramontina-92256010" TargetMode="External"/><Relationship Id="rId18" Type="http://schemas.openxmlformats.org/officeDocument/2006/relationships/hyperlink" Target="https://orcamentor.com/composicao/98565/" TargetMode="External"/><Relationship Id="rId26" Type="http://schemas.openxmlformats.org/officeDocument/2006/relationships/hyperlink" Target="https://prefeitura.sp.gov.br/documents/d/licenciamento/tabela_fev-2026_definitiva-pdf" TargetMode="External"/><Relationship Id="rId3" Type="http://schemas.openxmlformats.org/officeDocument/2006/relationships/hyperlink" Target="https://www.globaltechbrasil.com/saunas/sauna-seca-eletrica-quadro-comando-digital-18kw-impercap-ate-55-5m" TargetMode="External"/><Relationship Id="rId21" Type="http://schemas.openxmlformats.org/officeDocument/2006/relationships/hyperlink" Target="https://orcamentor.com/composicao/88264/" TargetMode="External"/><Relationship Id="rId7" Type="http://schemas.openxmlformats.org/officeDocument/2006/relationships/hyperlink" Target="https://www.google.com/search?q=misturador+termost%C3%A1tico+chuveiro+parede+pre%C3%A7o+Deca+OR+Docol+OR+Hansgrohe&amp;hl=pt-BR&amp;gl=br" TargetMode="External"/><Relationship Id="rId12" Type="http://schemas.openxmlformats.org/officeDocument/2006/relationships/hyperlink" Target="https://www.google.com/search?q=bebedouro+industrial+inox+50+litros+%C3%A1gua+gelada+pre%C3%A7o+IBBL+OR+Libell+OR+Venax&amp;hl=pt-BR&amp;gl=br" TargetMode="External"/><Relationship Id="rId17" Type="http://schemas.openxmlformats.org/officeDocument/2006/relationships/hyperlink" Target="https://orcamentor.com/composicao/98546/" TargetMode="External"/><Relationship Id="rId25" Type="http://schemas.openxmlformats.org/officeDocument/2006/relationships/hyperlink" Target="https://prefeitura.sp.gov.br/documents/d/licenciamento/tabela_fev-2026_definitiva-pdf" TargetMode="External"/><Relationship Id="rId2" Type="http://schemas.openxmlformats.org/officeDocument/2006/relationships/hyperlink" Target="https://www.moveisdeck.com.br/produtos/sauna-deck-completa-seca/" TargetMode="External"/><Relationship Id="rId16" Type="http://schemas.openxmlformats.org/officeDocument/2006/relationships/hyperlink" Target="https://www.ripatto.com.br/" TargetMode="External"/><Relationship Id="rId20" Type="http://schemas.openxmlformats.org/officeDocument/2006/relationships/hyperlink" Target="https://www.google.com/search?q=ralo+linear+inox+100+cm+%C3%A1rea+externa+pre%C3%A7o&amp;hl=pt-BR&amp;gl=br" TargetMode="External"/><Relationship Id="rId1" Type="http://schemas.openxmlformats.org/officeDocument/2006/relationships/hyperlink" Target="https://iceflow.com.br/precos" TargetMode="External"/><Relationship Id="rId6" Type="http://schemas.openxmlformats.org/officeDocument/2006/relationships/hyperlink" Target="https://www.google.com/search?q=porta+de+vidro+temperado+para+sauna+a+vapor+OR+seca+pre%C3%A7o+Sodramar&amp;hl=pt-BR&amp;gl=br" TargetMode="External"/><Relationship Id="rId11" Type="http://schemas.openxmlformats.org/officeDocument/2006/relationships/hyperlink" Target="https://www.google.com/search?q=divis%C3%B3ria+sanit%C3%A1ria+fen%C3%B3lica+TS+10mm+pre%C3%A7o+m2&amp;hl=pt-BR&amp;gl=br" TargetMode="External"/><Relationship Id="rId24" Type="http://schemas.openxmlformats.org/officeDocument/2006/relationships/hyperlink" Target="https://www.cronoshare.com.br/quanto-custa/projeto-arquitetura/sao-paulo" TargetMode="External"/><Relationship Id="rId5" Type="http://schemas.openxmlformats.org/officeDocument/2006/relationships/hyperlink" Target="https://www.globaltechbrasil.com/saunas/sauna-a-vapor-compact-line-inox-24kw-sodramar-para-ate-40m" TargetMode="External"/><Relationship Id="rId15" Type="http://schemas.openxmlformats.org/officeDocument/2006/relationships/hyperlink" Target="https://orcamentor.com/composicao/103315/" TargetMode="External"/><Relationship Id="rId23" Type="http://schemas.openxmlformats.org/officeDocument/2006/relationships/hyperlink" Target="https://trt16.jus.br/site/conteudo/licitacao/view/lic_inteiro_teor_mapa.view.php?id=9634" TargetMode="External"/><Relationship Id="rId28" Type="http://schemas.openxmlformats.org/officeDocument/2006/relationships/hyperlink" Target="https://www.legisweb.com.br/legislacao/?id=357293" TargetMode="External"/><Relationship Id="rId10" Type="http://schemas.openxmlformats.org/officeDocument/2006/relationships/hyperlink" Target="https://loja.multiaquecedores.com.br/aquecedor-a-gas-rinnai-reu-e35-fea-35-litros-gn-ou-glp" TargetMode="External"/><Relationship Id="rId19" Type="http://schemas.openxmlformats.org/officeDocument/2006/relationships/hyperlink" Target="https://orcamentor.com/composicao/87263/" TargetMode="External"/><Relationship Id="rId4" Type="http://schemas.openxmlformats.org/officeDocument/2006/relationships/hyperlink" Target="https://orcamentor.com/composicao/88789/" TargetMode="External"/><Relationship Id="rId9" Type="http://schemas.openxmlformats.org/officeDocument/2006/relationships/hyperlink" Target="https://www.cascatasecia.com.br/produto/ducha-piscina-coluna-tubular-em-inox-316-c-001-cascatas-cia-i0glbe9o/" TargetMode="External"/><Relationship Id="rId14" Type="http://schemas.openxmlformats.org/officeDocument/2006/relationships/hyperlink" Target="https://www.google.com/search?q=sof%C3%A1+%C3%A1rea+externa+alum%C3%ADnio+corda+n%C3%A1utica+3+lugares+estofado+imperme%C3%A1vel+pre%C3%A7o&amp;hl=pt-BR&amp;gl=br" TargetMode="External"/><Relationship Id="rId22" Type="http://schemas.openxmlformats.org/officeDocument/2006/relationships/hyperlink" Target="https://orcamentor.com/composicao/88267/" TargetMode="External"/><Relationship Id="rId27" Type="http://schemas.openxmlformats.org/officeDocument/2006/relationships/hyperlink" Target="https://engefogo.com.br/avcb-e-clcb/quanto-custa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esaunashop.com/tylohelo-cold-shower-bucket" TargetMode="External"/><Relationship Id="rId13" Type="http://schemas.openxmlformats.org/officeDocument/2006/relationships/hyperlink" Target="https://www.globaltechbrasil.com/5067-bomba-de-calor-para-banho-fromtherm-fh40-60" TargetMode="External"/><Relationship Id="rId18" Type="http://schemas.openxmlformats.org/officeDocument/2006/relationships/hyperlink" Target="https://www.google.com/search?q=pergolado+alum%C3%ADnio+pre%C3%A7o+m2+instalado+2026&amp;hl=pt-BR&amp;gl=br" TargetMode="External"/><Relationship Id="rId26" Type="http://schemas.openxmlformats.org/officeDocument/2006/relationships/hyperlink" Target="https://orcamentor.com/composicao/88267/" TargetMode="External"/><Relationship Id="rId3" Type="http://schemas.openxmlformats.org/officeDocument/2006/relationships/hyperlink" Target="https://www.google.com/search?q=sauna+seca+finlandesa+montada+pre%C3%A7o+por+m2+madeira+cedro&amp;hl=pt-BR&amp;gl=br" TargetMode="External"/><Relationship Id="rId21" Type="http://schemas.openxmlformats.org/officeDocument/2006/relationships/hyperlink" Target="https://orcamentor.com/composicao/98565/" TargetMode="External"/><Relationship Id="rId7" Type="http://schemas.openxmlformats.org/officeDocument/2006/relationships/hyperlink" Target="https://kivawellness.com.br/products/sauna-4-pessoas-infravermelho-full-spectrum" TargetMode="External"/><Relationship Id="rId12" Type="http://schemas.openxmlformats.org/officeDocument/2006/relationships/hyperlink" Target="https://www.cascatasecia.com.br/produto/ducha-piscina-coluna-tubular-em-inox-316-c-001-cascatas-cia-i0glbe9o/" TargetMode="External"/><Relationship Id="rId17" Type="http://schemas.openxmlformats.org/officeDocument/2006/relationships/hyperlink" Target="https://www.google.com/search?q=sof%C3%A1+%C3%A1rea+externa+alum%C3%ADnio+corda+n%C3%A1utica+3+lugares+estofado+imperme%C3%A1vel+pre%C3%A7o&amp;hl=pt-BR&amp;gl=br" TargetMode="External"/><Relationship Id="rId25" Type="http://schemas.openxmlformats.org/officeDocument/2006/relationships/hyperlink" Target="https://orcamentor.com/composicao/88264/" TargetMode="External"/><Relationship Id="rId2" Type="http://schemas.openxmlformats.org/officeDocument/2006/relationships/hyperlink" Target="https://www.moveisdeck.com.br/produtos/sauna-deck-completa-seca/" TargetMode="External"/><Relationship Id="rId16" Type="http://schemas.openxmlformats.org/officeDocument/2006/relationships/hyperlink" Target="https://www.google.com/search?q=espregui%C3%A7adeira+alum%C3%ADnio+piscina+fibra+sint%C3%A9tica+OR+corda+n%C3%A1utica+pre%C3%A7o&amp;hl=pt-BR&amp;gl=br" TargetMode="External"/><Relationship Id="rId20" Type="http://schemas.openxmlformats.org/officeDocument/2006/relationships/hyperlink" Target="https://orcamentor.com/composicao/98546/" TargetMode="External"/><Relationship Id="rId29" Type="http://schemas.openxmlformats.org/officeDocument/2006/relationships/hyperlink" Target="https://prefeitura.sp.gov.br/documents/d/licenciamento/tabela_fev-2026_definitiva-pdf" TargetMode="External"/><Relationship Id="rId1" Type="http://schemas.openxmlformats.org/officeDocument/2006/relationships/hyperlink" Target="https://iceflow.com.br/precos" TargetMode="External"/><Relationship Id="rId6" Type="http://schemas.openxmlformats.org/officeDocument/2006/relationships/hyperlink" Target="https://www.google.com/search?q=porta+de+vidro+temperado+para+sauna+a+vapor+OR+seca+pre%C3%A7o+Sodramar&amp;hl=pt-BR&amp;gl=br" TargetMode="External"/><Relationship Id="rId11" Type="http://schemas.openxmlformats.org/officeDocument/2006/relationships/hyperlink" Target="https://tropicalcascatas.com.br/produto/cascata-chuva-inox-de-embutir-led/" TargetMode="External"/><Relationship Id="rId24" Type="http://schemas.openxmlformats.org/officeDocument/2006/relationships/hyperlink" Target="https://deckdeck.com.br/produto/deck-ecologico-in-brasil-tipo-ype-02-pecas-32x150x3000-090-m2-a-caixa/" TargetMode="External"/><Relationship Id="rId32" Type="http://schemas.openxmlformats.org/officeDocument/2006/relationships/hyperlink" Target="https://www.legisweb.com.br/legislacao/?id=357293" TargetMode="External"/><Relationship Id="rId5" Type="http://schemas.openxmlformats.org/officeDocument/2006/relationships/hyperlink" Target="https://www.globaltechbrasil.com/saunas/sauna-vapor-eletrica-24kw-inox-comando-digital-impercap" TargetMode="External"/><Relationship Id="rId15" Type="http://schemas.openxmlformats.org/officeDocument/2006/relationships/hyperlink" Target="https://www.extra.com.br/kit-bebedouro-industrial-50-litros-refrigerado-inox-bi50l-220v-filtro-venancio/p/1579422979" TargetMode="External"/><Relationship Id="rId23" Type="http://schemas.openxmlformats.org/officeDocument/2006/relationships/hyperlink" Target="https://www.ralolinear.com.br/" TargetMode="External"/><Relationship Id="rId28" Type="http://schemas.openxmlformats.org/officeDocument/2006/relationships/hyperlink" Target="https://www.cronoshare.com.br/quanto-custa/projeto-arquitetura/sao-paulo" TargetMode="External"/><Relationship Id="rId10" Type="http://schemas.openxmlformats.org/officeDocument/2006/relationships/hyperlink" Target="https://www.cascatasecia.com.br/produto/cascata-ducha-linear-em-inox-304-para-ambientes-externos-100cm-28v9y5ft/" TargetMode="External"/><Relationship Id="rId19" Type="http://schemas.openxmlformats.org/officeDocument/2006/relationships/hyperlink" Target="https://www.ripatto.com.br/" TargetMode="External"/><Relationship Id="rId31" Type="http://schemas.openxmlformats.org/officeDocument/2006/relationships/hyperlink" Target="https://engefogo.com.br/avcb-e-clcb/quanto-custa" TargetMode="External"/><Relationship Id="rId4" Type="http://schemas.openxmlformats.org/officeDocument/2006/relationships/hyperlink" Target="https://orcamentor.com/composicao/88789/" TargetMode="External"/><Relationship Id="rId9" Type="http://schemas.openxmlformats.org/officeDocument/2006/relationships/hyperlink" Target="https://www.google.com/search?q=misturador+termost%C3%A1tico+chuveiro+parede+pre%C3%A7o+Deca+OR+Docol+OR+Hansgrohe&amp;hl=pt-BR&amp;gl=br" TargetMode="External"/><Relationship Id="rId14" Type="http://schemas.openxmlformats.org/officeDocument/2006/relationships/hyperlink" Target="https://www.google.com/search?q=divis%C3%B3ria+sanit%C3%A1ria+fen%C3%B3lica+TS+10mm+pre%C3%A7o+m2&amp;hl=pt-BR&amp;gl=br" TargetMode="External"/><Relationship Id="rId22" Type="http://schemas.openxmlformats.org/officeDocument/2006/relationships/hyperlink" Target="https://www.telhanorte.com.br/porcelanato-oasi-duna-90x90-ext-ret-cx-2-42-m2-portobello-2547929/p" TargetMode="External"/><Relationship Id="rId27" Type="http://schemas.openxmlformats.org/officeDocument/2006/relationships/hyperlink" Target="https://trt16.jus.br/site/conteudo/licitacao/view/lic_inteiro_teor_mapa.view.php?id=9634" TargetMode="External"/><Relationship Id="rId30" Type="http://schemas.openxmlformats.org/officeDocument/2006/relationships/hyperlink" Target="https://prefeitura.sp.gov.br/documents/d/licenciamento/tabela_fev-2026_definitiva-pdf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q=misturador+termost%C3%A1tico+chuveiro+parede+pre%C3%A7o+Deca+OR+Docol+OR+Hansgrohe&amp;hl=pt-BR&amp;gl=br" TargetMode="External"/><Relationship Id="rId13" Type="http://schemas.openxmlformats.org/officeDocument/2006/relationships/hyperlink" Target="https://www.extra.com.br/kit-bebedouro-industrial-50-litros-refrigerado-inox-bi50l-220v-filtro-venancio/p/1579422979" TargetMode="External"/><Relationship Id="rId18" Type="http://schemas.openxmlformats.org/officeDocument/2006/relationships/hyperlink" Target="https://orcamentor.com/composicao/98546/" TargetMode="External"/><Relationship Id="rId26" Type="http://schemas.openxmlformats.org/officeDocument/2006/relationships/hyperlink" Target="https://www.cronoshare.com.br/quanto-custa/projeto-arquitetura/sao-paulo" TargetMode="External"/><Relationship Id="rId3" Type="http://schemas.openxmlformats.org/officeDocument/2006/relationships/hyperlink" Target="https://topture.com/products/harvia-virta-pro-series-sauna-heater-20kw" TargetMode="External"/><Relationship Id="rId21" Type="http://schemas.openxmlformats.org/officeDocument/2006/relationships/hyperlink" Target="https://www.ralolinear.com.br/" TargetMode="External"/><Relationship Id="rId7" Type="http://schemas.openxmlformats.org/officeDocument/2006/relationships/hyperlink" Target="https://esaunashop.com/tylohelo-cold-shower-bucket" TargetMode="External"/><Relationship Id="rId12" Type="http://schemas.openxmlformats.org/officeDocument/2006/relationships/hyperlink" Target="https://www.globaltechbrasil.com/7009-bomba-de-calor-para-banho-fromtherm-fh80-60o" TargetMode="External"/><Relationship Id="rId17" Type="http://schemas.openxmlformats.org/officeDocument/2006/relationships/hyperlink" Target="https://www.ripatto.com.br/" TargetMode="External"/><Relationship Id="rId25" Type="http://schemas.openxmlformats.org/officeDocument/2006/relationships/hyperlink" Target="https://trt16.jus.br/site/conteudo/licitacao/view/lic_inteiro_teor_mapa.view.php?id=9634" TargetMode="External"/><Relationship Id="rId2" Type="http://schemas.openxmlformats.org/officeDocument/2006/relationships/hyperlink" Target="https://www.moveisdeck.com.br/produtos/sauna-deck-completa-seca/" TargetMode="External"/><Relationship Id="rId16" Type="http://schemas.openxmlformats.org/officeDocument/2006/relationships/hyperlink" Target="https://www.google.com/search?q=pergolado+alum%C3%ADnio+pre%C3%A7o+m2+instalado+2026&amp;hl=pt-BR&amp;gl=br" TargetMode="External"/><Relationship Id="rId20" Type="http://schemas.openxmlformats.org/officeDocument/2006/relationships/hyperlink" Target="https://www.telhanorte.com.br/porcelanato-oasi-duna-90x90-ext-ret-cx-2-42-m2-portobello-2547929/p" TargetMode="External"/><Relationship Id="rId29" Type="http://schemas.openxmlformats.org/officeDocument/2006/relationships/hyperlink" Target="https://engefogo.com.br/avcb-e-clcb/quanto-custa" TargetMode="External"/><Relationship Id="rId1" Type="http://schemas.openxmlformats.org/officeDocument/2006/relationships/hyperlink" Target="https://business.plunge.com/products/plunge-all-in-commercial" TargetMode="External"/><Relationship Id="rId6" Type="http://schemas.openxmlformats.org/officeDocument/2006/relationships/hyperlink" Target="https://healwithheat.com/sanctuary-retreat/" TargetMode="External"/><Relationship Id="rId11" Type="http://schemas.openxmlformats.org/officeDocument/2006/relationships/hyperlink" Target="https://www.cascatasecia.com.br/produto/ducha-piscina-coluna-tubular-em-inox-316-c-001-cascatas-cia-i0glbe9o/" TargetMode="External"/><Relationship Id="rId24" Type="http://schemas.openxmlformats.org/officeDocument/2006/relationships/hyperlink" Target="https://orcamentor.com/composicao/88267/" TargetMode="External"/><Relationship Id="rId5" Type="http://schemas.openxmlformats.org/officeDocument/2006/relationships/hyperlink" Target="https://www.poolandspacentre.co.uk/tylo-steam-commercial-generator.html" TargetMode="External"/><Relationship Id="rId15" Type="http://schemas.openxmlformats.org/officeDocument/2006/relationships/hyperlink" Target="https://www.google.com/search?q=sof%C3%A1+%C3%A1rea+externa+alum%C3%ADnio+corda+n%C3%A1utica+3+lugares+estofado+imperme%C3%A1vel+pre%C3%A7o&amp;hl=pt-BR&amp;gl=br" TargetMode="External"/><Relationship Id="rId23" Type="http://schemas.openxmlformats.org/officeDocument/2006/relationships/hyperlink" Target="https://orcamentor.com/composicao/88264/" TargetMode="External"/><Relationship Id="rId28" Type="http://schemas.openxmlformats.org/officeDocument/2006/relationships/hyperlink" Target="https://prefeitura.sp.gov.br/documents/d/licenciamento/tabela_fev-2026_definitiva-pdf" TargetMode="External"/><Relationship Id="rId10" Type="http://schemas.openxmlformats.org/officeDocument/2006/relationships/hyperlink" Target="https://tropicalcascatas.com.br/produto/cascata-chuva-inox-de-embutir-led/" TargetMode="External"/><Relationship Id="rId19" Type="http://schemas.openxmlformats.org/officeDocument/2006/relationships/hyperlink" Target="https://orcamentor.com/composicao/98565/" TargetMode="External"/><Relationship Id="rId4" Type="http://schemas.openxmlformats.org/officeDocument/2006/relationships/hyperlink" Target="https://orcamentor.com/composicao/88789/" TargetMode="External"/><Relationship Id="rId9" Type="http://schemas.openxmlformats.org/officeDocument/2006/relationships/hyperlink" Target="https://www.cascatasecia.com.br/produto/cascata-ducha-linear-em-inox-304-para-ambientes-externos-300cm-a79tdhm7/" TargetMode="External"/><Relationship Id="rId14" Type="http://schemas.openxmlformats.org/officeDocument/2006/relationships/hyperlink" Target="https://www.google.com/search?q=espregui%C3%A7adeira+alum%C3%ADnio+piscina+fibra+sint%C3%A9tica+OR+corda+n%C3%A1utica+pre%C3%A7o&amp;hl=pt-BR&amp;gl=br" TargetMode="External"/><Relationship Id="rId22" Type="http://schemas.openxmlformats.org/officeDocument/2006/relationships/hyperlink" Target="https://deckdeck.com.br/produto/deck-ecologico-in-brasil-tipo-ype-02-pecas-32x150x3000-090-m2-a-caixa/" TargetMode="External"/><Relationship Id="rId27" Type="http://schemas.openxmlformats.org/officeDocument/2006/relationships/hyperlink" Target="https://prefeitura.sp.gov.br/documents/d/licenciamento/tabela_fev-2026_definitiva-pdf" TargetMode="External"/><Relationship Id="rId30" Type="http://schemas.openxmlformats.org/officeDocument/2006/relationships/hyperlink" Target="https://www.legisweb.com.br/legislacao/?id=357293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.sp.gov.br/spl/2026/05/Acessorio/1000690012_1000859822_Acessorio.pdf" TargetMode="External"/><Relationship Id="rId2" Type="http://schemas.openxmlformats.org/officeDocument/2006/relationships/hyperlink" Target="https://www.arsesp.sp.gov.br/Documentosgerais/NT_1__REAJUSTE_TARIFARIO_DA_SABESP__Tarifa_Aplicacao___URAE1___assinado.pdf" TargetMode="External"/><Relationship Id="rId1" Type="http://schemas.openxmlformats.org/officeDocument/2006/relationships/hyperlink" Target="https://calculadoraenergia.com.br/tarifa/enel-sp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orcamentor.com/composicao/88264/" TargetMode="External"/><Relationship Id="rId18" Type="http://schemas.openxmlformats.org/officeDocument/2006/relationships/hyperlink" Target="https://prefeitura.sp.gov.br/documents/d/licenciamento/tabela_fev-2026_definitiva-pdf" TargetMode="External"/><Relationship Id="rId26" Type="http://schemas.openxmlformats.org/officeDocument/2006/relationships/hyperlink" Target="https://www.cascatasecia.com.br/produto/ducha-piscina-coluna-tubular-em-inox-316-c-001-cascatas-cia-i0glbe9o/" TargetMode="External"/><Relationship Id="rId39" Type="http://schemas.openxmlformats.org/officeDocument/2006/relationships/hyperlink" Target="https://www.google.com/search?q=porta+de+vidro+temperado+para+sauna+a+vapor+OR+seca+pre%C3%A7o+Sodramar&amp;hl=pt-BR&amp;gl=br" TargetMode="External"/><Relationship Id="rId21" Type="http://schemas.openxmlformats.org/officeDocument/2006/relationships/hyperlink" Target="https://tropicalcascatas.com.br/produto/cascata-chuva-inox-de-embutir-led/" TargetMode="External"/><Relationship Id="rId34" Type="http://schemas.openxmlformats.org/officeDocument/2006/relationships/hyperlink" Target="https://www.google.com/search?q=bebedouro+industrial+inox+50+litros+%C3%A1gua+gelada+pre%C3%A7o+IBBL+OR+Libell+OR+Venax&amp;hl=pt-BR&amp;gl=br" TargetMode="External"/><Relationship Id="rId42" Type="http://schemas.openxmlformats.org/officeDocument/2006/relationships/hyperlink" Target="https://www.google.com/search?q=sof%C3%A1+%C3%A1rea+externa+alum%C3%ADnio+corda+n%C3%A1utica+3+lugares+estofado+imperme%C3%A1vel+pre%C3%A7o&amp;hl=pt-BR&amp;gl=br" TargetMode="External"/><Relationship Id="rId47" Type="http://schemas.openxmlformats.org/officeDocument/2006/relationships/hyperlink" Target="https://www.poolandspacentre.co.uk/tylo-steam-commercial-generator.html" TargetMode="External"/><Relationship Id="rId50" Type="http://schemas.openxmlformats.org/officeDocument/2006/relationships/hyperlink" Target="https://www.telhanorte.com.br/porcelanato-oasi-duna-90x90-ext-ret-cx-2-42-m2-portobello-2547929/p" TargetMode="External"/><Relationship Id="rId7" Type="http://schemas.openxmlformats.org/officeDocument/2006/relationships/hyperlink" Target="https://iceflow.com.br/precos" TargetMode="External"/><Relationship Id="rId2" Type="http://schemas.openxmlformats.org/officeDocument/2006/relationships/hyperlink" Target="https://deckdeck.com.br/produto/deck-ecologico-in-brasil-tipo-ype-02-pecas-32x150x3000-090-m2-a-caixa/" TargetMode="External"/><Relationship Id="rId16" Type="http://schemas.openxmlformats.org/officeDocument/2006/relationships/hyperlink" Target="https://orcamentor.com/composicao/98546/" TargetMode="External"/><Relationship Id="rId29" Type="http://schemas.openxmlformats.org/officeDocument/2006/relationships/hyperlink" Target="https://www.globaltechbrasil.com/5067-bomba-de-calor-para-banho-fromtherm-fh40-60" TargetMode="External"/><Relationship Id="rId11" Type="http://schemas.openxmlformats.org/officeDocument/2006/relationships/hyperlink" Target="https://orcamentor.com/composicao/103315/" TargetMode="External"/><Relationship Id="rId24" Type="http://schemas.openxmlformats.org/officeDocument/2006/relationships/hyperlink" Target="https://www.cascatasecia.com.br/produto/cascata-ducha-linear-em-inox-304-para-ambientes-externos-300cm-a79tdhm7/" TargetMode="External"/><Relationship Id="rId32" Type="http://schemas.openxmlformats.org/officeDocument/2006/relationships/hyperlink" Target="https://www.globaltechbrasil.com/saunas/sauna-seca-eletrica-quadro-comando-digital-18kw-impercap-ate-55-5m" TargetMode="External"/><Relationship Id="rId37" Type="http://schemas.openxmlformats.org/officeDocument/2006/relationships/hyperlink" Target="https://www.google.com/search?q=misturador+termost%C3%A1tico+chuveiro+parede+pre%C3%A7o+Deca+OR+Docol+OR+Hansgrohe&amp;hl=pt-BR&amp;gl=br" TargetMode="External"/><Relationship Id="rId40" Type="http://schemas.openxmlformats.org/officeDocument/2006/relationships/hyperlink" Target="https://www.google.com/search?q=ralo+linear+inox+100+cm+%C3%A1rea+externa+pre%C3%A7o&amp;hl=pt-BR&amp;gl=br" TargetMode="External"/><Relationship Id="rId45" Type="http://schemas.openxmlformats.org/officeDocument/2006/relationships/hyperlink" Target="https://www.moveisdeck.com.br/produtos/sauna-deck-completa-seca/" TargetMode="External"/><Relationship Id="rId5" Type="http://schemas.openxmlformats.org/officeDocument/2006/relationships/hyperlink" Target="https://gelohealth.com.br/collections/all" TargetMode="External"/><Relationship Id="rId15" Type="http://schemas.openxmlformats.org/officeDocument/2006/relationships/hyperlink" Target="https://orcamentor.com/composicao/88789/" TargetMode="External"/><Relationship Id="rId23" Type="http://schemas.openxmlformats.org/officeDocument/2006/relationships/hyperlink" Target="https://www.cascatasecia.com.br/produto/cascata-ducha-linear-em-inox-304-para-ambientes-externos-100cm-28v9y5ft/" TargetMode="External"/><Relationship Id="rId28" Type="http://schemas.openxmlformats.org/officeDocument/2006/relationships/hyperlink" Target="https://www.extra.com.br/kit-bebedouro-industrial-50-litros-refrigerado-inox-bi50l-220v-filtro-venancio/p/1579422979" TargetMode="External"/><Relationship Id="rId36" Type="http://schemas.openxmlformats.org/officeDocument/2006/relationships/hyperlink" Target="https://www.google.com/search?q=espregui%C3%A7adeira+alum%C3%ADnio+piscina+fibra+sint%C3%A9tica+OR+corda+n%C3%A1utica+pre%C3%A7o&amp;hl=pt-BR&amp;gl=br" TargetMode="External"/><Relationship Id="rId49" Type="http://schemas.openxmlformats.org/officeDocument/2006/relationships/hyperlink" Target="https://www.ripatto.com.br/" TargetMode="External"/><Relationship Id="rId10" Type="http://schemas.openxmlformats.org/officeDocument/2006/relationships/hyperlink" Target="https://loja.multiaquecedores.com.br/aquecedor-a-gas-rinnai-reu-e35-fea-35-litros-gn-ou-glp" TargetMode="External"/><Relationship Id="rId19" Type="http://schemas.openxmlformats.org/officeDocument/2006/relationships/hyperlink" Target="https://sindusconsp.com.br/servicos/cub/" TargetMode="External"/><Relationship Id="rId31" Type="http://schemas.openxmlformats.org/officeDocument/2006/relationships/hyperlink" Target="https://www.globaltechbrasil.com/saunas/sauna-a-vapor-compact-line-inox-24kw-sodramar-para-ate-40m" TargetMode="External"/><Relationship Id="rId44" Type="http://schemas.openxmlformats.org/officeDocument/2006/relationships/hyperlink" Target="https://www.lojadomecanico.com.br/produto/74017/59/513/espreguicadeira-leblon-branca-tramontina-92256010" TargetMode="External"/><Relationship Id="rId4" Type="http://schemas.openxmlformats.org/officeDocument/2006/relationships/hyperlink" Target="https://esaunashop.com/tylohelo-cold-shower-bucket" TargetMode="External"/><Relationship Id="rId9" Type="http://schemas.openxmlformats.org/officeDocument/2006/relationships/hyperlink" Target="https://larpontual.com.br/portal/o-que-faz-um-engenheiro-civil" TargetMode="External"/><Relationship Id="rId14" Type="http://schemas.openxmlformats.org/officeDocument/2006/relationships/hyperlink" Target="https://orcamentor.com/composicao/88267/" TargetMode="External"/><Relationship Id="rId22" Type="http://schemas.openxmlformats.org/officeDocument/2006/relationships/hyperlink" Target="https://trt16.jus.br/site/conteudo/licitacao/view/lic_inteiro_teor_mapa.view.php?id=9634" TargetMode="External"/><Relationship Id="rId27" Type="http://schemas.openxmlformats.org/officeDocument/2006/relationships/hyperlink" Target="https://www.cronoshare.com.br/quanto-custa/projeto-arquitetura/sao-paulo" TargetMode="External"/><Relationship Id="rId30" Type="http://schemas.openxmlformats.org/officeDocument/2006/relationships/hyperlink" Target="https://www.globaltechbrasil.com/7009-bomba-de-calor-para-banho-fromtherm-fh80-60o" TargetMode="External"/><Relationship Id="rId35" Type="http://schemas.openxmlformats.org/officeDocument/2006/relationships/hyperlink" Target="https://www.google.com/search?q=divis%C3%B3ria+sanit%C3%A1ria+fen%C3%B3lica+TS+10mm+pre%C3%A7o+m2&amp;hl=pt-BR&amp;gl=br" TargetMode="External"/><Relationship Id="rId43" Type="http://schemas.openxmlformats.org/officeDocument/2006/relationships/hyperlink" Target="https://www.legisweb.com.br/legislacao/?id=357293" TargetMode="External"/><Relationship Id="rId48" Type="http://schemas.openxmlformats.org/officeDocument/2006/relationships/hyperlink" Target="https://www.ralolinear.com.br/" TargetMode="External"/><Relationship Id="rId8" Type="http://schemas.openxmlformats.org/officeDocument/2006/relationships/hyperlink" Target="https://kivawellness.com.br/products/sauna-4-pessoas-infravermelho-full-spectrum" TargetMode="External"/><Relationship Id="rId3" Type="http://schemas.openxmlformats.org/officeDocument/2006/relationships/hyperlink" Target="https://engefogo.com.br/avcb-e-clcb/quanto-custa" TargetMode="External"/><Relationship Id="rId12" Type="http://schemas.openxmlformats.org/officeDocument/2006/relationships/hyperlink" Target="https://orcamentor.com/composicao/87263/" TargetMode="External"/><Relationship Id="rId17" Type="http://schemas.openxmlformats.org/officeDocument/2006/relationships/hyperlink" Target="https://orcamentor.com/composicao/98565/" TargetMode="External"/><Relationship Id="rId25" Type="http://schemas.openxmlformats.org/officeDocument/2006/relationships/hyperlink" Target="https://www.cascatasecia.com.br/produto/cascata-ducha-linear-em-inox-304-para-ambientes-externos-60cm-zgmmaiv6/" TargetMode="External"/><Relationship Id="rId33" Type="http://schemas.openxmlformats.org/officeDocument/2006/relationships/hyperlink" Target="https://www.globaltechbrasil.com/saunas/sauna-vapor-eletrica-24kw-inox-comando-digital-impercap" TargetMode="External"/><Relationship Id="rId38" Type="http://schemas.openxmlformats.org/officeDocument/2006/relationships/hyperlink" Target="https://www.google.com/search?q=pergolado+alum%C3%ADnio+pre%C3%A7o+m2+instalado+2026&amp;hl=pt-BR&amp;gl=br" TargetMode="External"/><Relationship Id="rId46" Type="http://schemas.openxmlformats.org/officeDocument/2006/relationships/hyperlink" Target="https://www.moveisdeck.com.br/produtos/sauna-deck-versatil-vapor/" TargetMode="External"/><Relationship Id="rId20" Type="http://schemas.openxmlformats.org/officeDocument/2006/relationships/hyperlink" Target="https://topture.com/products/harvia-virta-pro-series-sauna-heater-20kw" TargetMode="External"/><Relationship Id="rId41" Type="http://schemas.openxmlformats.org/officeDocument/2006/relationships/hyperlink" Target="https://www.google.com/search?q=sauna+seca+finlandesa+montada+pre%C3%A7o+por+m2+madeira+cedro&amp;hl=pt-BR&amp;gl=br" TargetMode="External"/><Relationship Id="rId1" Type="http://schemas.openxmlformats.org/officeDocument/2006/relationships/hyperlink" Target="https://business.plunge.com/products/plunge-all-in-commercial" TargetMode="External"/><Relationship Id="rId6" Type="http://schemas.openxmlformats.org/officeDocument/2006/relationships/hyperlink" Target="https://healwithheat.com/sanctuary-retrea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52" customWidth="1"/>
    <col min="2" max="4" width="20" customWidth="1"/>
  </cols>
  <sheetData>
    <row r="1" spans="1:4" ht="18" x14ac:dyDescent="0.4">
      <c r="A1" s="1" t="s">
        <v>0</v>
      </c>
    </row>
    <row r="2" spans="1:4" x14ac:dyDescent="0.35">
      <c r="A2" s="2" t="s">
        <v>1</v>
      </c>
    </row>
    <row r="4" spans="1:4" x14ac:dyDescent="0.3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35">
      <c r="A5" s="2" t="s">
        <v>6</v>
      </c>
      <c r="B5" s="4">
        <f>Essencial!G7</f>
        <v>129360</v>
      </c>
      <c r="C5" s="4">
        <f>Recomendado!G7</f>
        <v>204036</v>
      </c>
      <c r="D5" s="4">
        <f>Premium!G7</f>
        <v>548800</v>
      </c>
    </row>
    <row r="6" spans="1:4" x14ac:dyDescent="0.35">
      <c r="A6" s="2" t="s">
        <v>7</v>
      </c>
      <c r="B6" s="4">
        <f>Essencial!G11</f>
        <v>122465.5</v>
      </c>
      <c r="C6" s="4">
        <f>Recomendado!G11</f>
        <v>181171.1</v>
      </c>
      <c r="D6" s="4">
        <f>Premium!G11</f>
        <v>296700</v>
      </c>
    </row>
    <row r="7" spans="1:4" x14ac:dyDescent="0.35">
      <c r="A7" s="2" t="s">
        <v>8</v>
      </c>
      <c r="B7" s="4">
        <f>Essencial!G16</f>
        <v>81799.3</v>
      </c>
      <c r="C7" s="4">
        <f>Recomendado!G16</f>
        <v>118376.24</v>
      </c>
      <c r="D7" s="4">
        <f>Premium!G15</f>
        <v>241200</v>
      </c>
    </row>
    <row r="8" spans="1:4" x14ac:dyDescent="0.35">
      <c r="A8" s="2" t="s">
        <v>9</v>
      </c>
      <c r="B8" s="5">
        <v>0</v>
      </c>
      <c r="C8" s="4">
        <f>Recomendado!G20</f>
        <v>72499</v>
      </c>
      <c r="D8" s="4">
        <f>Premium!G19</f>
        <v>125300</v>
      </c>
    </row>
    <row r="9" spans="1:4" x14ac:dyDescent="0.35">
      <c r="A9" s="2" t="s">
        <v>10</v>
      </c>
      <c r="B9" s="4">
        <f>Essencial!G23</f>
        <v>22057.550000000003</v>
      </c>
      <c r="C9" s="4">
        <f>Recomendado!G29</f>
        <v>65961.16</v>
      </c>
      <c r="D9" s="4">
        <f>Premium!G28</f>
        <v>106990.05</v>
      </c>
    </row>
    <row r="10" spans="1:4" x14ac:dyDescent="0.35">
      <c r="A10" s="2" t="s">
        <v>11</v>
      </c>
      <c r="B10" s="4">
        <f>Essencial!G30</f>
        <v>52568.59</v>
      </c>
      <c r="C10" s="4">
        <f>Recomendado!G36</f>
        <v>111770.77</v>
      </c>
      <c r="D10" s="4">
        <f>Premium!G35</f>
        <v>201040.41</v>
      </c>
    </row>
    <row r="11" spans="1:4" x14ac:dyDescent="0.35">
      <c r="A11" s="2" t="s">
        <v>12</v>
      </c>
      <c r="B11" s="4">
        <f>Essencial!G34</f>
        <v>92794</v>
      </c>
      <c r="C11" s="4">
        <f>Recomendado!G40</f>
        <v>162000</v>
      </c>
      <c r="D11" s="4">
        <f>Premium!G40</f>
        <v>296497</v>
      </c>
    </row>
    <row r="12" spans="1:4" x14ac:dyDescent="0.35">
      <c r="A12" s="2" t="s">
        <v>13</v>
      </c>
      <c r="B12" s="4">
        <f>Essencial!G42</f>
        <v>55313.15</v>
      </c>
      <c r="C12" s="4">
        <f>Recomendado!G51</f>
        <v>116458.02</v>
      </c>
      <c r="D12" s="4">
        <f>Premium!G51</f>
        <v>116458.02</v>
      </c>
    </row>
    <row r="13" spans="1:4" x14ac:dyDescent="0.35">
      <c r="A13" s="2" t="s">
        <v>14</v>
      </c>
      <c r="B13" s="4">
        <f>Essencial!G49</f>
        <v>212000</v>
      </c>
      <c r="C13" s="4">
        <f>Recomendado!G58</f>
        <v>240000</v>
      </c>
      <c r="D13" s="4">
        <f>Premium!G58</f>
        <v>298000</v>
      </c>
    </row>
    <row r="14" spans="1:4" x14ac:dyDescent="0.35">
      <c r="A14" s="2" t="s">
        <v>15</v>
      </c>
      <c r="B14" s="4">
        <f>Essencial!G52</f>
        <v>60000</v>
      </c>
      <c r="C14" s="4">
        <f>Recomendado!G61</f>
        <v>80000</v>
      </c>
      <c r="D14" s="4">
        <f>Premium!G61</f>
        <v>100000</v>
      </c>
    </row>
    <row r="15" spans="1:4" x14ac:dyDescent="0.35">
      <c r="A15" s="2" t="s">
        <v>16</v>
      </c>
      <c r="B15" s="4">
        <f>Essencial!G55</f>
        <v>8000</v>
      </c>
      <c r="C15" s="4">
        <f>Recomendado!G67</f>
        <v>58000</v>
      </c>
      <c r="D15" s="4">
        <f>Premium!G67</f>
        <v>97000</v>
      </c>
    </row>
    <row r="16" spans="1:4" x14ac:dyDescent="0.35">
      <c r="A16" s="2" t="s">
        <v>17</v>
      </c>
      <c r="B16" s="4">
        <f>Essencial!G64</f>
        <v>104631.08</v>
      </c>
      <c r="C16" s="4">
        <f>Recomendado!G76</f>
        <v>153631.07999999999</v>
      </c>
      <c r="D16" s="4">
        <f>Premium!G76</f>
        <v>201631.08</v>
      </c>
    </row>
    <row r="17" spans="1:4" x14ac:dyDescent="0.35">
      <c r="A17" s="6" t="s">
        <v>18</v>
      </c>
      <c r="B17" s="7">
        <f>Essencial!G66</f>
        <v>940989.16999999993</v>
      </c>
      <c r="C17" s="7">
        <f>Recomendado!G78</f>
        <v>1563903.37</v>
      </c>
      <c r="D17" s="7">
        <f>Premium!G78</f>
        <v>2629616.56</v>
      </c>
    </row>
    <row r="18" spans="1:4" x14ac:dyDescent="0.35">
      <c r="A18" s="6" t="s">
        <v>19</v>
      </c>
      <c r="B18" s="7">
        <f>Essencial!G69</f>
        <v>64216.072500000002</v>
      </c>
      <c r="C18" s="7">
        <f>Recomendado!G81</f>
        <v>98468.702999999994</v>
      </c>
      <c r="D18" s="7">
        <f>Premium!G81</f>
        <v>136193.253</v>
      </c>
    </row>
    <row r="19" spans="1:4" x14ac:dyDescent="0.35">
      <c r="A19" s="6" t="s">
        <v>20</v>
      </c>
      <c r="B19" s="7">
        <f>Essencial!G71</f>
        <v>120624.62909999999</v>
      </c>
      <c r="C19" s="7">
        <f>Recomendado!G83</f>
        <v>199484.64876000001</v>
      </c>
      <c r="D19" s="7">
        <f>Premium!G83</f>
        <v>331897.17755999998</v>
      </c>
    </row>
    <row r="20" spans="1:4" x14ac:dyDescent="0.35">
      <c r="A20" s="6" t="s">
        <v>21</v>
      </c>
      <c r="B20" s="8">
        <f>Essencial!G72</f>
        <v>1125829.8716</v>
      </c>
      <c r="C20" s="8">
        <f>Recomendado!G84</f>
        <v>1861856.7217600001</v>
      </c>
      <c r="D20" s="8">
        <f>Premium!G84</f>
        <v>3097706.9905599998</v>
      </c>
    </row>
    <row r="21" spans="1:4" x14ac:dyDescent="0.35">
      <c r="A21" s="2" t="s">
        <v>22</v>
      </c>
      <c r="B21" s="9">
        <v>2000000</v>
      </c>
    </row>
    <row r="22" spans="1:4" x14ac:dyDescent="0.35">
      <c r="A22" s="2" t="s">
        <v>23</v>
      </c>
      <c r="B22" s="5">
        <f>$B$21-B20</f>
        <v>874170.12840000005</v>
      </c>
      <c r="C22" s="5">
        <f>$B$21-C20</f>
        <v>138143.2782399999</v>
      </c>
      <c r="D22" s="5">
        <f>$B$21-D20</f>
        <v>-1097706.9905599998</v>
      </c>
    </row>
    <row r="23" spans="1:4" x14ac:dyDescent="0.35">
      <c r="A23" s="2" t="s">
        <v>24</v>
      </c>
      <c r="B23" s="10">
        <f>B20/5000</f>
        <v>225.16597432</v>
      </c>
      <c r="C23" s="10">
        <f>C20/5000</f>
        <v>372.37134435199999</v>
      </c>
      <c r="D23" s="10">
        <f>D20/5000</f>
        <v>619.54139811199991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4" customWidth="1"/>
    <col min="2" max="2" width="60" customWidth="1"/>
    <col min="3" max="3" width="26" customWidth="1"/>
    <col min="4" max="5" width="7" customWidth="1"/>
    <col min="6" max="6" width="15" customWidth="1"/>
    <col min="7" max="7" width="16" customWidth="1"/>
    <col min="8" max="8" width="22" customWidth="1"/>
    <col min="9" max="9" width="50" customWidth="1"/>
    <col min="10" max="10" width="40" customWidth="1"/>
    <col min="11" max="11" width="14" customWidth="1"/>
  </cols>
  <sheetData>
    <row r="1" spans="1:11" ht="18" x14ac:dyDescent="0.4">
      <c r="A1" s="1" t="s">
        <v>25</v>
      </c>
    </row>
    <row r="2" spans="1:11" x14ac:dyDescent="0.35">
      <c r="A2" s="2" t="s">
        <v>26</v>
      </c>
    </row>
    <row r="4" spans="1:11" ht="28" x14ac:dyDescent="0.35">
      <c r="A4" s="3" t="s">
        <v>2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  <c r="J4" s="3" t="s">
        <v>35</v>
      </c>
      <c r="K4" s="3" t="s">
        <v>36</v>
      </c>
    </row>
    <row r="5" spans="1:11" ht="28" x14ac:dyDescent="0.35">
      <c r="A5" s="11" t="s">
        <v>6</v>
      </c>
      <c r="B5" s="12" t="s">
        <v>37</v>
      </c>
      <c r="C5" s="11" t="s">
        <v>38</v>
      </c>
      <c r="D5" s="13">
        <v>4</v>
      </c>
      <c r="E5" s="11" t="s">
        <v>39</v>
      </c>
      <c r="F5" s="14">
        <v>29840</v>
      </c>
      <c r="G5" s="15">
        <f>D5*F5</f>
        <v>119360</v>
      </c>
      <c r="H5" s="11" t="s">
        <v>40</v>
      </c>
      <c r="I5" s="12" t="s">
        <v>41</v>
      </c>
      <c r="J5" s="16" t="s">
        <v>42</v>
      </c>
      <c r="K5" s="11" t="s">
        <v>43</v>
      </c>
    </row>
    <row r="6" spans="1:11" ht="28" x14ac:dyDescent="0.35">
      <c r="A6" s="11" t="s">
        <v>6</v>
      </c>
      <c r="B6" s="12" t="s">
        <v>44</v>
      </c>
      <c r="C6" s="11" t="s">
        <v>45</v>
      </c>
      <c r="D6" s="13">
        <v>4</v>
      </c>
      <c r="E6" s="11" t="s">
        <v>39</v>
      </c>
      <c r="F6" s="14">
        <v>2500</v>
      </c>
      <c r="G6" s="15">
        <f>D6*F6</f>
        <v>10000</v>
      </c>
      <c r="H6" s="11" t="s">
        <v>46</v>
      </c>
      <c r="I6" s="12" t="s">
        <v>47</v>
      </c>
      <c r="J6" s="11"/>
      <c r="K6" s="11" t="s">
        <v>43</v>
      </c>
    </row>
    <row r="7" spans="1:11" x14ac:dyDescent="0.35">
      <c r="A7" s="17" t="s">
        <v>48</v>
      </c>
      <c r="B7" s="18"/>
      <c r="C7" s="18"/>
      <c r="D7" s="18"/>
      <c r="E7" s="18"/>
      <c r="F7" s="18"/>
      <c r="G7" s="19">
        <f>SUM(G5:G6)</f>
        <v>129360</v>
      </c>
      <c r="H7" s="18"/>
      <c r="I7" s="18"/>
      <c r="J7" s="18"/>
      <c r="K7" s="18"/>
    </row>
    <row r="9" spans="1:11" ht="42" x14ac:dyDescent="0.35">
      <c r="A9" s="11" t="s">
        <v>7</v>
      </c>
      <c r="B9" s="12" t="s">
        <v>49</v>
      </c>
      <c r="C9" s="11" t="s">
        <v>50</v>
      </c>
      <c r="D9" s="13">
        <v>1</v>
      </c>
      <c r="E9" s="11" t="s">
        <v>51</v>
      </c>
      <c r="F9" s="14">
        <v>115000</v>
      </c>
      <c r="G9" s="15">
        <f>D9*F9</f>
        <v>115000</v>
      </c>
      <c r="H9" s="11" t="s">
        <v>46</v>
      </c>
      <c r="I9" s="12" t="s">
        <v>52</v>
      </c>
      <c r="J9" s="16" t="s">
        <v>53</v>
      </c>
      <c r="K9" s="11" t="s">
        <v>43</v>
      </c>
    </row>
    <row r="10" spans="1:11" x14ac:dyDescent="0.35">
      <c r="A10" s="11" t="s">
        <v>7</v>
      </c>
      <c r="B10" s="12" t="s">
        <v>54</v>
      </c>
      <c r="C10" s="11" t="s">
        <v>55</v>
      </c>
      <c r="D10" s="13">
        <v>1</v>
      </c>
      <c r="E10" s="11" t="s">
        <v>39</v>
      </c>
      <c r="F10" s="14">
        <v>7465.5</v>
      </c>
      <c r="G10" s="15">
        <f>D10*F10</f>
        <v>7465.5</v>
      </c>
      <c r="H10" s="11" t="s">
        <v>40</v>
      </c>
      <c r="I10" s="12" t="s">
        <v>56</v>
      </c>
      <c r="J10" s="16" t="s">
        <v>57</v>
      </c>
      <c r="K10" s="11" t="s">
        <v>43</v>
      </c>
    </row>
    <row r="11" spans="1:11" x14ac:dyDescent="0.35">
      <c r="A11" s="17" t="s">
        <v>58</v>
      </c>
      <c r="B11" s="18"/>
      <c r="C11" s="18"/>
      <c r="D11" s="18"/>
      <c r="E11" s="18"/>
      <c r="F11" s="18"/>
      <c r="G11" s="19">
        <f>SUM(G9:G10)</f>
        <v>122465.5</v>
      </c>
      <c r="H11" s="18"/>
      <c r="I11" s="18"/>
      <c r="J11" s="18"/>
      <c r="K11" s="18"/>
    </row>
    <row r="13" spans="1:11" ht="42" x14ac:dyDescent="0.35">
      <c r="A13" s="11" t="s">
        <v>8</v>
      </c>
      <c r="B13" s="12" t="s">
        <v>59</v>
      </c>
      <c r="C13" s="11" t="s">
        <v>60</v>
      </c>
      <c r="D13" s="13">
        <v>1</v>
      </c>
      <c r="E13" s="11" t="s">
        <v>51</v>
      </c>
      <c r="F13" s="14">
        <v>75000</v>
      </c>
      <c r="G13" s="15">
        <f>D13*F13</f>
        <v>75000</v>
      </c>
      <c r="H13" s="11" t="s">
        <v>46</v>
      </c>
      <c r="I13" s="12" t="s">
        <v>61</v>
      </c>
      <c r="J13" s="16" t="s">
        <v>62</v>
      </c>
      <c r="K13" s="11" t="s">
        <v>43</v>
      </c>
    </row>
    <row r="14" spans="1:11" x14ac:dyDescent="0.35">
      <c r="A14" s="11" t="s">
        <v>8</v>
      </c>
      <c r="B14" s="12" t="s">
        <v>63</v>
      </c>
      <c r="C14" s="11" t="s">
        <v>64</v>
      </c>
      <c r="D14" s="13">
        <v>1</v>
      </c>
      <c r="E14" s="11" t="s">
        <v>39</v>
      </c>
      <c r="F14" s="14">
        <v>4108.5</v>
      </c>
      <c r="G14" s="15">
        <f>D14*F14</f>
        <v>4108.5</v>
      </c>
      <c r="H14" s="11" t="s">
        <v>40</v>
      </c>
      <c r="I14" s="12" t="s">
        <v>41</v>
      </c>
      <c r="J14" s="16" t="s">
        <v>65</v>
      </c>
      <c r="K14" s="11" t="s">
        <v>43</v>
      </c>
    </row>
    <row r="15" spans="1:11" x14ac:dyDescent="0.35">
      <c r="A15" s="11" t="s">
        <v>8</v>
      </c>
      <c r="B15" s="12" t="s">
        <v>66</v>
      </c>
      <c r="C15" s="11" t="s">
        <v>67</v>
      </c>
      <c r="D15" s="13">
        <v>1</v>
      </c>
      <c r="E15" s="11" t="s">
        <v>39</v>
      </c>
      <c r="F15" s="14">
        <v>2690.8</v>
      </c>
      <c r="G15" s="15">
        <f>D15*F15</f>
        <v>2690.8</v>
      </c>
      <c r="H15" s="11" t="s">
        <v>68</v>
      </c>
      <c r="I15" s="12" t="s">
        <v>69</v>
      </c>
      <c r="J15" s="16" t="s">
        <v>70</v>
      </c>
      <c r="K15" s="11" t="s">
        <v>43</v>
      </c>
    </row>
    <row r="16" spans="1:11" x14ac:dyDescent="0.35">
      <c r="A16" s="17" t="s">
        <v>71</v>
      </c>
      <c r="B16" s="18"/>
      <c r="C16" s="18"/>
      <c r="D16" s="18"/>
      <c r="E16" s="18"/>
      <c r="F16" s="18"/>
      <c r="G16" s="19">
        <f>SUM(G13:G15)</f>
        <v>81799.3</v>
      </c>
      <c r="H16" s="18"/>
      <c r="I16" s="18"/>
      <c r="J16" s="18"/>
      <c r="K16" s="18"/>
    </row>
    <row r="18" spans="1:11" ht="28" x14ac:dyDescent="0.35">
      <c r="A18" s="11" t="s">
        <v>10</v>
      </c>
      <c r="B18" s="12" t="s">
        <v>72</v>
      </c>
      <c r="C18" s="11" t="s">
        <v>73</v>
      </c>
      <c r="D18" s="13">
        <v>1</v>
      </c>
      <c r="E18" s="11" t="s">
        <v>39</v>
      </c>
      <c r="F18" s="14">
        <v>5000</v>
      </c>
      <c r="G18" s="15">
        <f>D18*F18</f>
        <v>5000</v>
      </c>
      <c r="H18" s="11" t="s">
        <v>46</v>
      </c>
      <c r="I18" s="12" t="s">
        <v>74</v>
      </c>
      <c r="J18" s="11"/>
      <c r="K18" s="11" t="s">
        <v>43</v>
      </c>
    </row>
    <row r="19" spans="1:11" ht="28" x14ac:dyDescent="0.35">
      <c r="A19" s="11" t="s">
        <v>10</v>
      </c>
      <c r="B19" s="12" t="s">
        <v>75</v>
      </c>
      <c r="C19" s="11" t="s">
        <v>76</v>
      </c>
      <c r="D19" s="13">
        <v>1</v>
      </c>
      <c r="E19" s="11" t="s">
        <v>39</v>
      </c>
      <c r="F19" s="14">
        <v>4750</v>
      </c>
      <c r="G19" s="15">
        <f>D19*F19</f>
        <v>4750</v>
      </c>
      <c r="H19" s="11" t="s">
        <v>68</v>
      </c>
      <c r="I19" s="12" t="s">
        <v>69</v>
      </c>
      <c r="J19" s="16" t="s">
        <v>77</v>
      </c>
      <c r="K19" s="11" t="s">
        <v>43</v>
      </c>
    </row>
    <row r="20" spans="1:11" x14ac:dyDescent="0.35">
      <c r="A20" s="11" t="s">
        <v>10</v>
      </c>
      <c r="B20" s="12" t="s">
        <v>78</v>
      </c>
      <c r="C20" s="11" t="s">
        <v>79</v>
      </c>
      <c r="D20" s="13">
        <v>1</v>
      </c>
      <c r="E20" s="11" t="s">
        <v>39</v>
      </c>
      <c r="F20" s="14">
        <v>1009.17</v>
      </c>
      <c r="G20" s="15">
        <f>D20*F20</f>
        <v>1009.17</v>
      </c>
      <c r="H20" s="11" t="s">
        <v>40</v>
      </c>
      <c r="I20" s="12" t="s">
        <v>41</v>
      </c>
      <c r="J20" s="16" t="s">
        <v>80</v>
      </c>
      <c r="K20" s="11" t="s">
        <v>43</v>
      </c>
    </row>
    <row r="21" spans="1:11" x14ac:dyDescent="0.35">
      <c r="A21" s="11" t="s">
        <v>10</v>
      </c>
      <c r="B21" s="12" t="s">
        <v>81</v>
      </c>
      <c r="C21" s="11" t="s">
        <v>79</v>
      </c>
      <c r="D21" s="13">
        <v>2</v>
      </c>
      <c r="E21" s="11" t="s">
        <v>39</v>
      </c>
      <c r="F21" s="14">
        <v>3003.49</v>
      </c>
      <c r="G21" s="15">
        <f>D21*F21</f>
        <v>6006.98</v>
      </c>
      <c r="H21" s="11" t="s">
        <v>40</v>
      </c>
      <c r="I21" s="12" t="s">
        <v>41</v>
      </c>
      <c r="J21" s="16" t="s">
        <v>82</v>
      </c>
      <c r="K21" s="11" t="s">
        <v>43</v>
      </c>
    </row>
    <row r="22" spans="1:11" x14ac:dyDescent="0.35">
      <c r="A22" s="11" t="s">
        <v>10</v>
      </c>
      <c r="B22" s="12" t="s">
        <v>83</v>
      </c>
      <c r="C22" s="11" t="s">
        <v>84</v>
      </c>
      <c r="D22" s="13">
        <v>1</v>
      </c>
      <c r="E22" s="11" t="s">
        <v>39</v>
      </c>
      <c r="F22" s="14">
        <v>5291.4</v>
      </c>
      <c r="G22" s="15">
        <f>D22*F22</f>
        <v>5291.4</v>
      </c>
      <c r="H22" s="11" t="s">
        <v>40</v>
      </c>
      <c r="I22" s="12" t="s">
        <v>85</v>
      </c>
      <c r="J22" s="16" t="s">
        <v>86</v>
      </c>
      <c r="K22" s="11" t="s">
        <v>43</v>
      </c>
    </row>
    <row r="23" spans="1:11" x14ac:dyDescent="0.35">
      <c r="A23" s="17" t="s">
        <v>87</v>
      </c>
      <c r="B23" s="18"/>
      <c r="C23" s="18"/>
      <c r="D23" s="18"/>
      <c r="E23" s="18"/>
      <c r="F23" s="18"/>
      <c r="G23" s="19">
        <f>SUM(G18:G22)</f>
        <v>22057.550000000003</v>
      </c>
      <c r="H23" s="18"/>
      <c r="I23" s="18"/>
      <c r="J23" s="18"/>
      <c r="K23" s="18"/>
    </row>
    <row r="25" spans="1:11" ht="28" x14ac:dyDescent="0.35">
      <c r="A25" s="11" t="s">
        <v>11</v>
      </c>
      <c r="B25" s="12" t="s">
        <v>88</v>
      </c>
      <c r="C25" s="11" t="s">
        <v>89</v>
      </c>
      <c r="D25" s="13">
        <v>30</v>
      </c>
      <c r="E25" s="11" t="s">
        <v>90</v>
      </c>
      <c r="F25" s="14">
        <v>1200</v>
      </c>
      <c r="G25" s="15">
        <f>D25*F25</f>
        <v>36000</v>
      </c>
      <c r="H25" s="11" t="s">
        <v>46</v>
      </c>
      <c r="I25" s="12" t="s">
        <v>91</v>
      </c>
      <c r="J25" s="16" t="s">
        <v>92</v>
      </c>
      <c r="K25" s="11" t="s">
        <v>43</v>
      </c>
    </row>
    <row r="26" spans="1:11" x14ac:dyDescent="0.35">
      <c r="A26" s="11" t="s">
        <v>11</v>
      </c>
      <c r="B26" s="12" t="s">
        <v>93</v>
      </c>
      <c r="C26" s="11" t="s">
        <v>94</v>
      </c>
      <c r="D26" s="13">
        <v>1</v>
      </c>
      <c r="E26" s="11" t="s">
        <v>39</v>
      </c>
      <c r="F26" s="14">
        <v>1619.91</v>
      </c>
      <c r="G26" s="15">
        <f>D26*F26</f>
        <v>1619.91</v>
      </c>
      <c r="H26" s="11" t="s">
        <v>68</v>
      </c>
      <c r="I26" s="12" t="s">
        <v>69</v>
      </c>
      <c r="J26" s="16" t="s">
        <v>95</v>
      </c>
      <c r="K26" s="11" t="s">
        <v>43</v>
      </c>
    </row>
    <row r="27" spans="1:11" x14ac:dyDescent="0.35">
      <c r="A27" s="11" t="s">
        <v>11</v>
      </c>
      <c r="B27" s="12" t="s">
        <v>96</v>
      </c>
      <c r="C27" s="11" t="s">
        <v>97</v>
      </c>
      <c r="D27" s="13">
        <v>2</v>
      </c>
      <c r="E27" s="11" t="s">
        <v>98</v>
      </c>
      <c r="F27" s="14">
        <v>1519.92</v>
      </c>
      <c r="G27" s="15">
        <f>D27*F27</f>
        <v>3039.84</v>
      </c>
      <c r="H27" s="11" t="s">
        <v>68</v>
      </c>
      <c r="I27" s="12" t="s">
        <v>69</v>
      </c>
      <c r="J27" s="16" t="s">
        <v>99</v>
      </c>
      <c r="K27" s="11" t="s">
        <v>43</v>
      </c>
    </row>
    <row r="28" spans="1:11" ht="28" x14ac:dyDescent="0.35">
      <c r="A28" s="11" t="s">
        <v>11</v>
      </c>
      <c r="B28" s="12" t="s">
        <v>100</v>
      </c>
      <c r="C28" s="11" t="s">
        <v>101</v>
      </c>
      <c r="D28" s="13">
        <v>2</v>
      </c>
      <c r="E28" s="11" t="s">
        <v>39</v>
      </c>
      <c r="F28" s="14">
        <v>2954.42</v>
      </c>
      <c r="G28" s="15">
        <f>D28*F28</f>
        <v>5908.84</v>
      </c>
      <c r="H28" s="11" t="s">
        <v>68</v>
      </c>
      <c r="I28" s="12" t="s">
        <v>102</v>
      </c>
      <c r="J28" s="16" t="s">
        <v>103</v>
      </c>
      <c r="K28" s="11" t="s">
        <v>43</v>
      </c>
    </row>
    <row r="29" spans="1:11" x14ac:dyDescent="0.35">
      <c r="A29" s="11" t="s">
        <v>11</v>
      </c>
      <c r="B29" s="12" t="s">
        <v>104</v>
      </c>
      <c r="C29" s="11" t="s">
        <v>105</v>
      </c>
      <c r="D29" s="13">
        <v>1</v>
      </c>
      <c r="E29" s="11" t="s">
        <v>51</v>
      </c>
      <c r="F29" s="14">
        <v>6000</v>
      </c>
      <c r="G29" s="15">
        <f>D29*F29</f>
        <v>6000</v>
      </c>
      <c r="H29" s="11" t="s">
        <v>46</v>
      </c>
      <c r="I29" s="12" t="s">
        <v>106</v>
      </c>
      <c r="J29" s="11"/>
      <c r="K29" s="11" t="s">
        <v>43</v>
      </c>
    </row>
    <row r="30" spans="1:11" x14ac:dyDescent="0.35">
      <c r="A30" s="17" t="s">
        <v>107</v>
      </c>
      <c r="B30" s="18"/>
      <c r="C30" s="18"/>
      <c r="D30" s="18"/>
      <c r="E30" s="18"/>
      <c r="F30" s="18"/>
      <c r="G30" s="19">
        <f>SUM(G25:G29)</f>
        <v>52568.59</v>
      </c>
      <c r="H30" s="18"/>
      <c r="I30" s="18"/>
      <c r="J30" s="18"/>
      <c r="K30" s="18"/>
    </row>
    <row r="32" spans="1:11" x14ac:dyDescent="0.35">
      <c r="A32" s="11" t="s">
        <v>12</v>
      </c>
      <c r="B32" s="12" t="s">
        <v>108</v>
      </c>
      <c r="C32" s="11" t="s">
        <v>109</v>
      </c>
      <c r="D32" s="13">
        <v>40</v>
      </c>
      <c r="E32" s="11" t="s">
        <v>110</v>
      </c>
      <c r="F32" s="14">
        <v>319.85000000000002</v>
      </c>
      <c r="G32" s="15">
        <f>D32*F32</f>
        <v>12794</v>
      </c>
      <c r="H32" s="11" t="s">
        <v>111</v>
      </c>
      <c r="I32" s="12" t="s">
        <v>112</v>
      </c>
      <c r="J32" s="16" t="s">
        <v>113</v>
      </c>
      <c r="K32" s="11" t="s">
        <v>43</v>
      </c>
    </row>
    <row r="33" spans="1:11" ht="28" x14ac:dyDescent="0.35">
      <c r="A33" s="11" t="s">
        <v>12</v>
      </c>
      <c r="B33" s="12" t="s">
        <v>114</v>
      </c>
      <c r="C33" s="11" t="s">
        <v>115</v>
      </c>
      <c r="D33" s="13">
        <v>100</v>
      </c>
      <c r="E33" s="11" t="s">
        <v>110</v>
      </c>
      <c r="F33" s="14">
        <v>800</v>
      </c>
      <c r="G33" s="15">
        <f>D33*F33</f>
        <v>80000</v>
      </c>
      <c r="H33" s="11" t="s">
        <v>46</v>
      </c>
      <c r="I33" s="12" t="s">
        <v>116</v>
      </c>
      <c r="J33" s="16" t="s">
        <v>117</v>
      </c>
      <c r="K33" s="11" t="s">
        <v>43</v>
      </c>
    </row>
    <row r="34" spans="1:11" x14ac:dyDescent="0.35">
      <c r="A34" s="17" t="s">
        <v>118</v>
      </c>
      <c r="B34" s="18"/>
      <c r="C34" s="18"/>
      <c r="D34" s="18"/>
      <c r="E34" s="18"/>
      <c r="F34" s="18"/>
      <c r="G34" s="19">
        <f>SUM(G32:G33)</f>
        <v>92794</v>
      </c>
      <c r="H34" s="18"/>
      <c r="I34" s="18"/>
      <c r="J34" s="18"/>
      <c r="K34" s="18"/>
    </row>
    <row r="36" spans="1:11" x14ac:dyDescent="0.35">
      <c r="A36" s="11" t="s">
        <v>13</v>
      </c>
      <c r="B36" s="12" t="s">
        <v>119</v>
      </c>
      <c r="C36" s="11" t="s">
        <v>60</v>
      </c>
      <c r="D36" s="13">
        <v>110</v>
      </c>
      <c r="E36" s="11" t="s">
        <v>110</v>
      </c>
      <c r="F36" s="14">
        <v>60</v>
      </c>
      <c r="G36" s="15">
        <f t="shared" ref="G36:G41" si="0">D36*F36</f>
        <v>6600</v>
      </c>
      <c r="H36" s="11" t="s">
        <v>46</v>
      </c>
      <c r="I36" s="12" t="s">
        <v>120</v>
      </c>
      <c r="J36" s="11"/>
      <c r="K36" s="11" t="s">
        <v>43</v>
      </c>
    </row>
    <row r="37" spans="1:11" x14ac:dyDescent="0.35">
      <c r="A37" s="11" t="s">
        <v>13</v>
      </c>
      <c r="B37" s="12" t="s">
        <v>121</v>
      </c>
      <c r="C37" s="11" t="s">
        <v>60</v>
      </c>
      <c r="D37" s="13">
        <v>110</v>
      </c>
      <c r="E37" s="11" t="s">
        <v>110</v>
      </c>
      <c r="F37" s="14">
        <v>90</v>
      </c>
      <c r="G37" s="15">
        <f t="shared" si="0"/>
        <v>9900</v>
      </c>
      <c r="H37" s="11" t="s">
        <v>46</v>
      </c>
      <c r="I37" s="12" t="s">
        <v>122</v>
      </c>
      <c r="J37" s="11"/>
      <c r="K37" s="11" t="s">
        <v>43</v>
      </c>
    </row>
    <row r="38" spans="1:11" x14ac:dyDescent="0.35">
      <c r="A38" s="11" t="s">
        <v>13</v>
      </c>
      <c r="B38" s="12" t="s">
        <v>123</v>
      </c>
      <c r="C38" s="11" t="s">
        <v>124</v>
      </c>
      <c r="D38" s="13">
        <v>110</v>
      </c>
      <c r="E38" s="11" t="s">
        <v>110</v>
      </c>
      <c r="F38" s="14">
        <v>137.79</v>
      </c>
      <c r="G38" s="15">
        <f t="shared" si="0"/>
        <v>15156.9</v>
      </c>
      <c r="H38" s="11" t="s">
        <v>111</v>
      </c>
      <c r="I38" s="12" t="s">
        <v>125</v>
      </c>
      <c r="J38" s="16" t="s">
        <v>126</v>
      </c>
      <c r="K38" s="11" t="s">
        <v>43</v>
      </c>
    </row>
    <row r="39" spans="1:11" x14ac:dyDescent="0.35">
      <c r="A39" s="11" t="s">
        <v>13</v>
      </c>
      <c r="B39" s="12" t="s">
        <v>127</v>
      </c>
      <c r="C39" s="11" t="s">
        <v>128</v>
      </c>
      <c r="D39" s="13">
        <v>110</v>
      </c>
      <c r="E39" s="11" t="s">
        <v>110</v>
      </c>
      <c r="F39" s="14">
        <v>65.7</v>
      </c>
      <c r="G39" s="15">
        <f t="shared" si="0"/>
        <v>7227</v>
      </c>
      <c r="H39" s="11" t="s">
        <v>111</v>
      </c>
      <c r="I39" s="12" t="s">
        <v>125</v>
      </c>
      <c r="J39" s="16" t="s">
        <v>129</v>
      </c>
      <c r="K39" s="11" t="s">
        <v>43</v>
      </c>
    </row>
    <row r="40" spans="1:11" ht="28" x14ac:dyDescent="0.35">
      <c r="A40" s="11" t="s">
        <v>13</v>
      </c>
      <c r="B40" s="12" t="s">
        <v>130</v>
      </c>
      <c r="C40" s="11" t="s">
        <v>131</v>
      </c>
      <c r="D40" s="13">
        <v>110</v>
      </c>
      <c r="E40" s="11" t="s">
        <v>110</v>
      </c>
      <c r="F40" s="14">
        <v>113.68</v>
      </c>
      <c r="G40" s="15">
        <f t="shared" si="0"/>
        <v>12504.800000000001</v>
      </c>
      <c r="H40" s="11" t="s">
        <v>111</v>
      </c>
      <c r="I40" s="12" t="s">
        <v>132</v>
      </c>
      <c r="J40" s="16" t="s">
        <v>133</v>
      </c>
      <c r="K40" s="11" t="s">
        <v>43</v>
      </c>
    </row>
    <row r="41" spans="1:11" x14ac:dyDescent="0.35">
      <c r="A41" s="11" t="s">
        <v>13</v>
      </c>
      <c r="B41" s="12" t="s">
        <v>134</v>
      </c>
      <c r="C41" s="11" t="s">
        <v>135</v>
      </c>
      <c r="D41" s="13">
        <v>15</v>
      </c>
      <c r="E41" s="11" t="s">
        <v>39</v>
      </c>
      <c r="F41" s="14">
        <v>261.63</v>
      </c>
      <c r="G41" s="15">
        <f t="shared" si="0"/>
        <v>3924.45</v>
      </c>
      <c r="H41" s="11" t="s">
        <v>68</v>
      </c>
      <c r="I41" s="12" t="s">
        <v>69</v>
      </c>
      <c r="J41" s="16" t="s">
        <v>136</v>
      </c>
      <c r="K41" s="11" t="s">
        <v>43</v>
      </c>
    </row>
    <row r="42" spans="1:11" x14ac:dyDescent="0.35">
      <c r="A42" s="17" t="s">
        <v>137</v>
      </c>
      <c r="B42" s="18"/>
      <c r="C42" s="18"/>
      <c r="D42" s="18"/>
      <c r="E42" s="18"/>
      <c r="F42" s="18"/>
      <c r="G42" s="19">
        <f>SUM(G36:G41)</f>
        <v>55313.15</v>
      </c>
      <c r="H42" s="18"/>
      <c r="I42" s="18"/>
      <c r="J42" s="18"/>
      <c r="K42" s="18"/>
    </row>
    <row r="44" spans="1:11" ht="42" x14ac:dyDescent="0.35">
      <c r="A44" s="11" t="s">
        <v>14</v>
      </c>
      <c r="B44" s="12" t="s">
        <v>138</v>
      </c>
      <c r="C44" s="11" t="s">
        <v>139</v>
      </c>
      <c r="D44" s="13">
        <v>1</v>
      </c>
      <c r="E44" s="11" t="s">
        <v>51</v>
      </c>
      <c r="F44" s="14">
        <v>85000</v>
      </c>
      <c r="G44" s="15">
        <f>D44*F44</f>
        <v>85000</v>
      </c>
      <c r="H44" s="11" t="s">
        <v>46</v>
      </c>
      <c r="I44" s="12" t="s">
        <v>140</v>
      </c>
      <c r="J44" s="16" t="s">
        <v>141</v>
      </c>
      <c r="K44" s="11" t="s">
        <v>43</v>
      </c>
    </row>
    <row r="45" spans="1:11" ht="28" x14ac:dyDescent="0.35">
      <c r="A45" s="11" t="s">
        <v>14</v>
      </c>
      <c r="B45" s="12" t="s">
        <v>142</v>
      </c>
      <c r="C45" s="11" t="s">
        <v>143</v>
      </c>
      <c r="D45" s="13">
        <v>1</v>
      </c>
      <c r="E45" s="11" t="s">
        <v>51</v>
      </c>
      <c r="F45" s="14">
        <v>55000</v>
      </c>
      <c r="G45" s="15">
        <f>D45*F45</f>
        <v>55000</v>
      </c>
      <c r="H45" s="11" t="s">
        <v>46</v>
      </c>
      <c r="I45" s="12" t="s">
        <v>144</v>
      </c>
      <c r="J45" s="16" t="s">
        <v>145</v>
      </c>
      <c r="K45" s="11" t="s">
        <v>43</v>
      </c>
    </row>
    <row r="46" spans="1:11" x14ac:dyDescent="0.35">
      <c r="A46" s="11" t="s">
        <v>14</v>
      </c>
      <c r="B46" s="12" t="s">
        <v>146</v>
      </c>
      <c r="C46" s="11" t="s">
        <v>147</v>
      </c>
      <c r="D46" s="13">
        <v>1</v>
      </c>
      <c r="E46" s="11" t="s">
        <v>51</v>
      </c>
      <c r="F46" s="14">
        <v>12000</v>
      </c>
      <c r="G46" s="15">
        <f>D46*F46</f>
        <v>12000</v>
      </c>
      <c r="H46" s="11" t="s">
        <v>46</v>
      </c>
      <c r="I46" s="12" t="s">
        <v>148</v>
      </c>
      <c r="J46" s="11"/>
      <c r="K46" s="11" t="s">
        <v>43</v>
      </c>
    </row>
    <row r="47" spans="1:11" x14ac:dyDescent="0.35">
      <c r="A47" s="11" t="s">
        <v>14</v>
      </c>
      <c r="B47" s="12" t="s">
        <v>149</v>
      </c>
      <c r="C47" s="11" t="s">
        <v>60</v>
      </c>
      <c r="D47" s="13">
        <v>1</v>
      </c>
      <c r="E47" s="11" t="s">
        <v>51</v>
      </c>
      <c r="F47" s="14">
        <v>20000</v>
      </c>
      <c r="G47" s="15">
        <f>D47*F47</f>
        <v>20000</v>
      </c>
      <c r="H47" s="11" t="s">
        <v>46</v>
      </c>
      <c r="I47" s="12" t="s">
        <v>150</v>
      </c>
      <c r="J47" s="11"/>
      <c r="K47" s="11" t="s">
        <v>43</v>
      </c>
    </row>
    <row r="48" spans="1:11" x14ac:dyDescent="0.35">
      <c r="A48" s="11" t="s">
        <v>14</v>
      </c>
      <c r="B48" s="12" t="s">
        <v>151</v>
      </c>
      <c r="C48" s="11" t="s">
        <v>152</v>
      </c>
      <c r="D48" s="13">
        <v>1</v>
      </c>
      <c r="E48" s="11" t="s">
        <v>51</v>
      </c>
      <c r="F48" s="14">
        <v>40000</v>
      </c>
      <c r="G48" s="15">
        <f>D48*F48</f>
        <v>40000</v>
      </c>
      <c r="H48" s="11" t="s">
        <v>46</v>
      </c>
      <c r="I48" s="12" t="s">
        <v>153</v>
      </c>
      <c r="J48" s="11"/>
      <c r="K48" s="11" t="s">
        <v>43</v>
      </c>
    </row>
    <row r="49" spans="1:11" x14ac:dyDescent="0.35">
      <c r="A49" s="17" t="s">
        <v>154</v>
      </c>
      <c r="B49" s="18"/>
      <c r="C49" s="18"/>
      <c r="D49" s="18"/>
      <c r="E49" s="18"/>
      <c r="F49" s="18"/>
      <c r="G49" s="19">
        <f>SUM(G44:G48)</f>
        <v>212000</v>
      </c>
      <c r="H49" s="18"/>
      <c r="I49" s="18"/>
      <c r="J49" s="18"/>
      <c r="K49" s="18"/>
    </row>
    <row r="51" spans="1:11" x14ac:dyDescent="0.35">
      <c r="A51" s="11" t="s">
        <v>15</v>
      </c>
      <c r="B51" s="12" t="s">
        <v>155</v>
      </c>
      <c r="C51" s="11" t="s">
        <v>60</v>
      </c>
      <c r="D51" s="13">
        <v>1</v>
      </c>
      <c r="E51" s="11" t="s">
        <v>51</v>
      </c>
      <c r="F51" s="14">
        <v>60000</v>
      </c>
      <c r="G51" s="15">
        <f>D51*F51</f>
        <v>60000</v>
      </c>
      <c r="H51" s="11" t="s">
        <v>46</v>
      </c>
      <c r="I51" s="12" t="s">
        <v>156</v>
      </c>
      <c r="J51" s="11"/>
      <c r="K51" s="11" t="s">
        <v>43</v>
      </c>
    </row>
    <row r="52" spans="1:11" x14ac:dyDescent="0.35">
      <c r="A52" s="17" t="s">
        <v>157</v>
      </c>
      <c r="B52" s="18"/>
      <c r="C52" s="18"/>
      <c r="D52" s="18"/>
      <c r="E52" s="18"/>
      <c r="F52" s="18"/>
      <c r="G52" s="19">
        <f>SUM(G51:G51)</f>
        <v>60000</v>
      </c>
      <c r="H52" s="18"/>
      <c r="I52" s="18"/>
      <c r="J52" s="18"/>
      <c r="K52" s="18"/>
    </row>
    <row r="54" spans="1:11" ht="28" x14ac:dyDescent="0.35">
      <c r="A54" s="11" t="s">
        <v>16</v>
      </c>
      <c r="B54" s="12" t="s">
        <v>158</v>
      </c>
      <c r="C54" s="11" t="s">
        <v>105</v>
      </c>
      <c r="D54" s="13">
        <v>1</v>
      </c>
      <c r="E54" s="11" t="s">
        <v>51</v>
      </c>
      <c r="F54" s="14">
        <v>8000</v>
      </c>
      <c r="G54" s="15">
        <f>D54*F54</f>
        <v>8000</v>
      </c>
      <c r="H54" s="11" t="s">
        <v>46</v>
      </c>
      <c r="I54" s="12" t="s">
        <v>106</v>
      </c>
      <c r="J54" s="11"/>
      <c r="K54" s="11" t="s">
        <v>43</v>
      </c>
    </row>
    <row r="55" spans="1:11" x14ac:dyDescent="0.35">
      <c r="A55" s="17" t="s">
        <v>159</v>
      </c>
      <c r="B55" s="18"/>
      <c r="C55" s="18"/>
      <c r="D55" s="18"/>
      <c r="E55" s="18"/>
      <c r="F55" s="18"/>
      <c r="G55" s="19">
        <f>SUM(G54:G54)</f>
        <v>8000</v>
      </c>
      <c r="H55" s="18"/>
      <c r="I55" s="18"/>
      <c r="J55" s="18"/>
      <c r="K55" s="18"/>
    </row>
    <row r="57" spans="1:11" x14ac:dyDescent="0.35">
      <c r="A57" s="11" t="s">
        <v>17</v>
      </c>
      <c r="B57" s="12" t="s">
        <v>160</v>
      </c>
      <c r="C57" s="11" t="s">
        <v>161</v>
      </c>
      <c r="D57" s="13">
        <v>1</v>
      </c>
      <c r="E57" s="11" t="s">
        <v>51</v>
      </c>
      <c r="F57" s="14">
        <v>4000</v>
      </c>
      <c r="G57" s="15">
        <f t="shared" ref="G57:G63" si="1">D57*F57</f>
        <v>4000</v>
      </c>
      <c r="H57" s="11" t="s">
        <v>46</v>
      </c>
      <c r="I57" s="12" t="s">
        <v>162</v>
      </c>
      <c r="J57" s="11"/>
      <c r="K57" s="11" t="s">
        <v>43</v>
      </c>
    </row>
    <row r="58" spans="1:11" x14ac:dyDescent="0.35">
      <c r="A58" s="11" t="s">
        <v>17</v>
      </c>
      <c r="B58" s="12" t="s">
        <v>163</v>
      </c>
      <c r="C58" s="11" t="s">
        <v>164</v>
      </c>
      <c r="D58" s="13">
        <v>1</v>
      </c>
      <c r="E58" s="11" t="s">
        <v>51</v>
      </c>
      <c r="F58" s="14">
        <v>18000</v>
      </c>
      <c r="G58" s="15">
        <f t="shared" si="1"/>
        <v>18000</v>
      </c>
      <c r="H58" s="11" t="s">
        <v>46</v>
      </c>
      <c r="I58" s="12" t="s">
        <v>165</v>
      </c>
      <c r="J58" s="16" t="s">
        <v>166</v>
      </c>
      <c r="K58" s="11" t="s">
        <v>43</v>
      </c>
    </row>
    <row r="59" spans="1:11" x14ac:dyDescent="0.35">
      <c r="A59" s="11" t="s">
        <v>17</v>
      </c>
      <c r="B59" s="12" t="s">
        <v>167</v>
      </c>
      <c r="C59" s="11" t="s">
        <v>168</v>
      </c>
      <c r="D59" s="13">
        <v>1</v>
      </c>
      <c r="E59" s="11" t="s">
        <v>51</v>
      </c>
      <c r="F59" s="14">
        <v>70000</v>
      </c>
      <c r="G59" s="15">
        <f t="shared" si="1"/>
        <v>70000</v>
      </c>
      <c r="H59" s="11" t="s">
        <v>46</v>
      </c>
      <c r="I59" s="12" t="s">
        <v>169</v>
      </c>
      <c r="J59" s="16" t="s">
        <v>170</v>
      </c>
      <c r="K59" s="11" t="s">
        <v>43</v>
      </c>
    </row>
    <row r="60" spans="1:11" x14ac:dyDescent="0.35">
      <c r="A60" s="11" t="s">
        <v>17</v>
      </c>
      <c r="B60" s="12" t="s">
        <v>171</v>
      </c>
      <c r="C60" s="11" t="s">
        <v>172</v>
      </c>
      <c r="D60" s="13">
        <v>175</v>
      </c>
      <c r="E60" s="11" t="s">
        <v>110</v>
      </c>
      <c r="F60" s="14">
        <v>6.97</v>
      </c>
      <c r="G60" s="15">
        <f t="shared" si="1"/>
        <v>1219.75</v>
      </c>
      <c r="H60" s="11" t="s">
        <v>111</v>
      </c>
      <c r="I60" s="12" t="s">
        <v>173</v>
      </c>
      <c r="J60" s="16" t="s">
        <v>174</v>
      </c>
      <c r="K60" s="11" t="s">
        <v>43</v>
      </c>
    </row>
    <row r="61" spans="1:11" x14ac:dyDescent="0.35">
      <c r="A61" s="11" t="s">
        <v>17</v>
      </c>
      <c r="B61" s="12" t="s">
        <v>175</v>
      </c>
      <c r="C61" s="11" t="s">
        <v>172</v>
      </c>
      <c r="D61" s="13">
        <v>1</v>
      </c>
      <c r="E61" s="11" t="s">
        <v>39</v>
      </c>
      <c r="F61" s="14">
        <v>1116.27</v>
      </c>
      <c r="G61" s="15">
        <f t="shared" si="1"/>
        <v>1116.27</v>
      </c>
      <c r="H61" s="11" t="s">
        <v>111</v>
      </c>
      <c r="I61" s="12" t="s">
        <v>173</v>
      </c>
      <c r="J61" s="16" t="s">
        <v>174</v>
      </c>
      <c r="K61" s="11" t="s">
        <v>43</v>
      </c>
    </row>
    <row r="62" spans="1:11" x14ac:dyDescent="0.35">
      <c r="A62" s="11" t="s">
        <v>17</v>
      </c>
      <c r="B62" s="12" t="s">
        <v>176</v>
      </c>
      <c r="C62" s="11" t="s">
        <v>177</v>
      </c>
      <c r="D62" s="13">
        <v>1</v>
      </c>
      <c r="E62" s="11" t="s">
        <v>51</v>
      </c>
      <c r="F62" s="14">
        <v>10000</v>
      </c>
      <c r="G62" s="15">
        <f t="shared" si="1"/>
        <v>10000</v>
      </c>
      <c r="H62" s="11" t="s">
        <v>46</v>
      </c>
      <c r="I62" s="12" t="s">
        <v>178</v>
      </c>
      <c r="J62" s="16" t="s">
        <v>179</v>
      </c>
      <c r="K62" s="11" t="s">
        <v>43</v>
      </c>
    </row>
    <row r="63" spans="1:11" x14ac:dyDescent="0.35">
      <c r="A63" s="11" t="s">
        <v>17</v>
      </c>
      <c r="B63" s="12" t="s">
        <v>180</v>
      </c>
      <c r="C63" s="11" t="s">
        <v>181</v>
      </c>
      <c r="D63" s="13">
        <v>2</v>
      </c>
      <c r="E63" s="11" t="s">
        <v>182</v>
      </c>
      <c r="F63" s="14">
        <v>147.53</v>
      </c>
      <c r="G63" s="15">
        <f t="shared" si="1"/>
        <v>295.06</v>
      </c>
      <c r="H63" s="11" t="s">
        <v>111</v>
      </c>
      <c r="I63" s="12" t="s">
        <v>183</v>
      </c>
      <c r="J63" s="16" t="s">
        <v>184</v>
      </c>
      <c r="K63" s="11" t="s">
        <v>43</v>
      </c>
    </row>
    <row r="64" spans="1:11" x14ac:dyDescent="0.35">
      <c r="A64" s="17" t="s">
        <v>185</v>
      </c>
      <c r="B64" s="18"/>
      <c r="C64" s="18"/>
      <c r="D64" s="18"/>
      <c r="E64" s="18"/>
      <c r="F64" s="18"/>
      <c r="G64" s="19">
        <f>SUM(G57:G63)</f>
        <v>104631.08</v>
      </c>
      <c r="H64" s="18"/>
      <c r="I64" s="18"/>
      <c r="J64" s="18"/>
      <c r="K64" s="18"/>
    </row>
    <row r="66" spans="1:11" x14ac:dyDescent="0.35">
      <c r="B66" s="6" t="s">
        <v>186</v>
      </c>
      <c r="G66" s="20">
        <f>G7+G11+G16+G23+G30+G34+G42+G49+G52+G55+G64</f>
        <v>940989.16999999993</v>
      </c>
    </row>
    <row r="67" spans="1:11" x14ac:dyDescent="0.35">
      <c r="B67" s="6" t="s">
        <v>187</v>
      </c>
      <c r="G67" s="20">
        <f>G34+G42+G49+G52+G55</f>
        <v>428107.15</v>
      </c>
    </row>
    <row r="68" spans="1:11" x14ac:dyDescent="0.35">
      <c r="B68" s="2" t="s">
        <v>188</v>
      </c>
      <c r="F68" s="21">
        <v>0.15</v>
      </c>
    </row>
    <row r="69" spans="1:11" x14ac:dyDescent="0.35">
      <c r="B69" s="6" t="s">
        <v>189</v>
      </c>
      <c r="G69" s="20">
        <f>G67*F68</f>
        <v>64216.072500000002</v>
      </c>
    </row>
    <row r="70" spans="1:11" x14ac:dyDescent="0.35">
      <c r="B70" s="2" t="s">
        <v>190</v>
      </c>
      <c r="F70" s="21">
        <v>0.12</v>
      </c>
    </row>
    <row r="71" spans="1:11" x14ac:dyDescent="0.35">
      <c r="B71" s="6" t="s">
        <v>191</v>
      </c>
      <c r="G71" s="20">
        <f>(G66+G69)*F70</f>
        <v>120624.62909999999</v>
      </c>
    </row>
    <row r="72" spans="1:11" x14ac:dyDescent="0.35">
      <c r="A72" s="22"/>
      <c r="B72" s="23" t="s">
        <v>192</v>
      </c>
      <c r="C72" s="22"/>
      <c r="D72" s="22"/>
      <c r="E72" s="22"/>
      <c r="F72" s="22"/>
      <c r="G72" s="24">
        <f>G66+G69+G71</f>
        <v>1125829.8716</v>
      </c>
      <c r="H72" s="22"/>
      <c r="I72" s="22"/>
      <c r="J72" s="22"/>
      <c r="K72" s="22"/>
    </row>
  </sheetData>
  <hyperlinks>
    <hyperlink ref="J5" r:id="rId1" xr:uid="{00000000-0004-0000-0100-000000000000}"/>
    <hyperlink ref="J9" r:id="rId2" xr:uid="{00000000-0004-0000-0100-000001000000}"/>
    <hyperlink ref="J10" r:id="rId3" xr:uid="{00000000-0004-0000-0100-000002000000}"/>
    <hyperlink ref="J13" r:id="rId4" xr:uid="{00000000-0004-0000-0100-000003000000}"/>
    <hyperlink ref="J14" r:id="rId5" xr:uid="{00000000-0004-0000-0100-000004000000}"/>
    <hyperlink ref="J15" r:id="rId6" xr:uid="{00000000-0004-0000-0100-000005000000}"/>
    <hyperlink ref="J19" r:id="rId7" xr:uid="{00000000-0004-0000-0100-000006000000}"/>
    <hyperlink ref="J20" r:id="rId8" xr:uid="{00000000-0004-0000-0100-000007000000}"/>
    <hyperlink ref="J21" r:id="rId9" xr:uid="{00000000-0004-0000-0100-000008000000}"/>
    <hyperlink ref="J22" r:id="rId10" xr:uid="{00000000-0004-0000-0100-000009000000}"/>
    <hyperlink ref="J25" r:id="rId11" xr:uid="{00000000-0004-0000-0100-00000A000000}"/>
    <hyperlink ref="J26" r:id="rId12" xr:uid="{00000000-0004-0000-0100-00000B000000}"/>
    <hyperlink ref="J27" r:id="rId13" xr:uid="{00000000-0004-0000-0100-00000C000000}"/>
    <hyperlink ref="J28" r:id="rId14" xr:uid="{00000000-0004-0000-0100-00000D000000}"/>
    <hyperlink ref="J32" r:id="rId15" xr:uid="{00000000-0004-0000-0100-00000E000000}"/>
    <hyperlink ref="J33" r:id="rId16" xr:uid="{00000000-0004-0000-0100-00000F000000}"/>
    <hyperlink ref="J38" r:id="rId17" xr:uid="{00000000-0004-0000-0100-000010000000}"/>
    <hyperlink ref="J39" r:id="rId18" xr:uid="{00000000-0004-0000-0100-000011000000}"/>
    <hyperlink ref="J40" r:id="rId19" xr:uid="{00000000-0004-0000-0100-000012000000}"/>
    <hyperlink ref="J41" r:id="rId20" xr:uid="{00000000-0004-0000-0100-000013000000}"/>
    <hyperlink ref="J44" r:id="rId21" xr:uid="{00000000-0004-0000-0100-000014000000}"/>
    <hyperlink ref="J45" r:id="rId22" xr:uid="{00000000-0004-0000-0100-000015000000}"/>
    <hyperlink ref="J58" r:id="rId23" xr:uid="{00000000-0004-0000-0100-000016000000}"/>
    <hyperlink ref="J59" r:id="rId24" xr:uid="{00000000-0004-0000-0100-000017000000}"/>
    <hyperlink ref="J60" r:id="rId25" xr:uid="{00000000-0004-0000-0100-000018000000}"/>
    <hyperlink ref="J61" r:id="rId26" xr:uid="{00000000-0004-0000-0100-000019000000}"/>
    <hyperlink ref="J62" r:id="rId27" xr:uid="{00000000-0004-0000-0100-00001A000000}"/>
    <hyperlink ref="J63" r:id="rId28" xr:uid="{00000000-0004-0000-0100-00001B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4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4" customWidth="1"/>
    <col min="2" max="2" width="60" customWidth="1"/>
    <col min="3" max="3" width="26" customWidth="1"/>
    <col min="4" max="5" width="7" customWidth="1"/>
    <col min="6" max="6" width="15" customWidth="1"/>
    <col min="7" max="7" width="16" customWidth="1"/>
    <col min="8" max="8" width="22" customWidth="1"/>
    <col min="9" max="9" width="50" customWidth="1"/>
    <col min="10" max="10" width="40" customWidth="1"/>
    <col min="11" max="11" width="14" customWidth="1"/>
  </cols>
  <sheetData>
    <row r="1" spans="1:11" ht="18" x14ac:dyDescent="0.4">
      <c r="A1" s="1" t="s">
        <v>193</v>
      </c>
    </row>
    <row r="2" spans="1:11" x14ac:dyDescent="0.35">
      <c r="A2" s="2" t="s">
        <v>194</v>
      </c>
    </row>
    <row r="4" spans="1:11" ht="28" x14ac:dyDescent="0.35">
      <c r="A4" s="3" t="s">
        <v>2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  <c r="J4" s="3" t="s">
        <v>35</v>
      </c>
      <c r="K4" s="3" t="s">
        <v>36</v>
      </c>
    </row>
    <row r="5" spans="1:11" ht="28" x14ac:dyDescent="0.35">
      <c r="A5" s="11" t="s">
        <v>6</v>
      </c>
      <c r="B5" s="12" t="s">
        <v>195</v>
      </c>
      <c r="C5" s="11" t="s">
        <v>38</v>
      </c>
      <c r="D5" s="13">
        <v>4</v>
      </c>
      <c r="E5" s="11" t="s">
        <v>39</v>
      </c>
      <c r="F5" s="14">
        <v>48009</v>
      </c>
      <c r="G5" s="15">
        <f>D5*F5</f>
        <v>192036</v>
      </c>
      <c r="H5" s="11" t="s">
        <v>40</v>
      </c>
      <c r="I5" s="12" t="s">
        <v>41</v>
      </c>
      <c r="J5" s="16" t="s">
        <v>42</v>
      </c>
      <c r="K5" s="11" t="s">
        <v>43</v>
      </c>
    </row>
    <row r="6" spans="1:11" ht="28" x14ac:dyDescent="0.35">
      <c r="A6" s="11" t="s">
        <v>6</v>
      </c>
      <c r="B6" s="12" t="s">
        <v>44</v>
      </c>
      <c r="C6" s="11" t="s">
        <v>45</v>
      </c>
      <c r="D6" s="13">
        <v>4</v>
      </c>
      <c r="E6" s="11" t="s">
        <v>39</v>
      </c>
      <c r="F6" s="14">
        <v>3000</v>
      </c>
      <c r="G6" s="15">
        <f>D6*F6</f>
        <v>12000</v>
      </c>
      <c r="H6" s="11" t="s">
        <v>46</v>
      </c>
      <c r="I6" s="12" t="s">
        <v>162</v>
      </c>
      <c r="J6" s="11"/>
      <c r="K6" s="11" t="s">
        <v>43</v>
      </c>
    </row>
    <row r="7" spans="1:11" x14ac:dyDescent="0.35">
      <c r="A7" s="17" t="s">
        <v>48</v>
      </c>
      <c r="B7" s="18"/>
      <c r="C7" s="18"/>
      <c r="D7" s="18"/>
      <c r="E7" s="18"/>
      <c r="F7" s="18"/>
      <c r="G7" s="19">
        <f>SUM(G5:G6)</f>
        <v>204036</v>
      </c>
      <c r="H7" s="18"/>
      <c r="I7" s="18"/>
      <c r="J7" s="18"/>
      <c r="K7" s="18"/>
    </row>
    <row r="9" spans="1:11" ht="28" x14ac:dyDescent="0.35">
      <c r="A9" s="11" t="s">
        <v>7</v>
      </c>
      <c r="B9" s="12" t="s">
        <v>196</v>
      </c>
      <c r="C9" s="11" t="s">
        <v>50</v>
      </c>
      <c r="D9" s="13">
        <v>1</v>
      </c>
      <c r="E9" s="11" t="s">
        <v>51</v>
      </c>
      <c r="F9" s="14">
        <v>165000</v>
      </c>
      <c r="G9" s="15">
        <f>D9*F9</f>
        <v>165000</v>
      </c>
      <c r="H9" s="11" t="s">
        <v>46</v>
      </c>
      <c r="I9" s="12" t="s">
        <v>197</v>
      </c>
      <c r="J9" s="16" t="s">
        <v>53</v>
      </c>
      <c r="K9" s="11" t="s">
        <v>43</v>
      </c>
    </row>
    <row r="10" spans="1:11" x14ac:dyDescent="0.35">
      <c r="A10" s="11" t="s">
        <v>7</v>
      </c>
      <c r="B10" s="12" t="s">
        <v>198</v>
      </c>
      <c r="C10" s="11" t="s">
        <v>199</v>
      </c>
      <c r="D10" s="13">
        <v>1</v>
      </c>
      <c r="E10" s="11" t="s">
        <v>39</v>
      </c>
      <c r="F10" s="14">
        <v>16171.1</v>
      </c>
      <c r="G10" s="15">
        <f>D10*F10</f>
        <v>16171.1</v>
      </c>
      <c r="H10" s="11" t="s">
        <v>68</v>
      </c>
      <c r="I10" s="12" t="s">
        <v>200</v>
      </c>
      <c r="J10" s="16" t="s">
        <v>201</v>
      </c>
      <c r="K10" s="11" t="s">
        <v>43</v>
      </c>
    </row>
    <row r="11" spans="1:11" x14ac:dyDescent="0.35">
      <c r="A11" s="17" t="s">
        <v>58</v>
      </c>
      <c r="B11" s="18"/>
      <c r="C11" s="18"/>
      <c r="D11" s="18"/>
      <c r="E11" s="18"/>
      <c r="F11" s="18"/>
      <c r="G11" s="19">
        <f>SUM(G9:G10)</f>
        <v>181171.1</v>
      </c>
      <c r="H11" s="18"/>
      <c r="I11" s="18"/>
      <c r="J11" s="18"/>
      <c r="K11" s="18"/>
    </row>
    <row r="13" spans="1:11" ht="28" x14ac:dyDescent="0.35">
      <c r="A13" s="11" t="s">
        <v>8</v>
      </c>
      <c r="B13" s="12" t="s">
        <v>202</v>
      </c>
      <c r="C13" s="11" t="s">
        <v>60</v>
      </c>
      <c r="D13" s="13">
        <v>1</v>
      </c>
      <c r="E13" s="11" t="s">
        <v>51</v>
      </c>
      <c r="F13" s="14">
        <v>110000</v>
      </c>
      <c r="G13" s="15">
        <f>D13*F13</f>
        <v>110000</v>
      </c>
      <c r="H13" s="11" t="s">
        <v>46</v>
      </c>
      <c r="I13" s="12" t="s">
        <v>203</v>
      </c>
      <c r="J13" s="16" t="s">
        <v>62</v>
      </c>
      <c r="K13" s="11" t="s">
        <v>43</v>
      </c>
    </row>
    <row r="14" spans="1:11" x14ac:dyDescent="0.35">
      <c r="A14" s="11" t="s">
        <v>8</v>
      </c>
      <c r="B14" s="12" t="s">
        <v>204</v>
      </c>
      <c r="C14" s="11" t="s">
        <v>55</v>
      </c>
      <c r="D14" s="13">
        <v>1</v>
      </c>
      <c r="E14" s="11" t="s">
        <v>39</v>
      </c>
      <c r="F14" s="14">
        <v>5685.44</v>
      </c>
      <c r="G14" s="15">
        <f>D14*F14</f>
        <v>5685.44</v>
      </c>
      <c r="H14" s="11" t="s">
        <v>40</v>
      </c>
      <c r="I14" s="12" t="s">
        <v>41</v>
      </c>
      <c r="J14" s="16" t="s">
        <v>205</v>
      </c>
      <c r="K14" s="11" t="s">
        <v>43</v>
      </c>
    </row>
    <row r="15" spans="1:11" x14ac:dyDescent="0.35">
      <c r="A15" s="11" t="s">
        <v>8</v>
      </c>
      <c r="B15" s="12" t="s">
        <v>66</v>
      </c>
      <c r="C15" s="11" t="s">
        <v>67</v>
      </c>
      <c r="D15" s="13">
        <v>1</v>
      </c>
      <c r="E15" s="11" t="s">
        <v>39</v>
      </c>
      <c r="F15" s="14">
        <v>2690.8</v>
      </c>
      <c r="G15" s="15">
        <f>D15*F15</f>
        <v>2690.8</v>
      </c>
      <c r="H15" s="11" t="s">
        <v>68</v>
      </c>
      <c r="I15" s="12" t="s">
        <v>69</v>
      </c>
      <c r="J15" s="16" t="s">
        <v>70</v>
      </c>
      <c r="K15" s="11" t="s">
        <v>43</v>
      </c>
    </row>
    <row r="16" spans="1:11" x14ac:dyDescent="0.35">
      <c r="A16" s="17" t="s">
        <v>71</v>
      </c>
      <c r="B16" s="18"/>
      <c r="C16" s="18"/>
      <c r="D16" s="18"/>
      <c r="E16" s="18"/>
      <c r="F16" s="18"/>
      <c r="G16" s="19">
        <f>SUM(G13:G15)</f>
        <v>118376.24</v>
      </c>
      <c r="H16" s="18"/>
      <c r="I16" s="18"/>
      <c r="J16" s="18"/>
      <c r="K16" s="18"/>
    </row>
    <row r="18" spans="1:11" x14ac:dyDescent="0.35">
      <c r="A18" s="11" t="s">
        <v>9</v>
      </c>
      <c r="B18" s="12" t="s">
        <v>206</v>
      </c>
      <c r="C18" s="11" t="s">
        <v>207</v>
      </c>
      <c r="D18" s="13">
        <v>1</v>
      </c>
      <c r="E18" s="11" t="s">
        <v>39</v>
      </c>
      <c r="F18" s="14">
        <v>57499</v>
      </c>
      <c r="G18" s="15">
        <f>D18*F18</f>
        <v>57499</v>
      </c>
      <c r="H18" s="11" t="s">
        <v>40</v>
      </c>
      <c r="I18" s="12" t="s">
        <v>208</v>
      </c>
      <c r="J18" s="16" t="s">
        <v>209</v>
      </c>
      <c r="K18" s="11" t="s">
        <v>43</v>
      </c>
    </row>
    <row r="19" spans="1:11" x14ac:dyDescent="0.35">
      <c r="A19" s="11" t="s">
        <v>9</v>
      </c>
      <c r="B19" s="12" t="s">
        <v>210</v>
      </c>
      <c r="C19" s="11" t="s">
        <v>211</v>
      </c>
      <c r="D19" s="13">
        <v>1</v>
      </c>
      <c r="E19" s="11" t="s">
        <v>51</v>
      </c>
      <c r="F19" s="14">
        <v>15000</v>
      </c>
      <c r="G19" s="15">
        <f>D19*F19</f>
        <v>15000</v>
      </c>
      <c r="H19" s="11" t="s">
        <v>46</v>
      </c>
      <c r="I19" s="12" t="s">
        <v>212</v>
      </c>
      <c r="J19" s="11"/>
      <c r="K19" s="11" t="s">
        <v>43</v>
      </c>
    </row>
    <row r="20" spans="1:11" x14ac:dyDescent="0.35">
      <c r="A20" s="17" t="s">
        <v>213</v>
      </c>
      <c r="B20" s="18"/>
      <c r="C20" s="18"/>
      <c r="D20" s="18"/>
      <c r="E20" s="18"/>
      <c r="F20" s="18"/>
      <c r="G20" s="19">
        <f>SUM(G18:G19)</f>
        <v>72499</v>
      </c>
      <c r="H20" s="18"/>
      <c r="I20" s="18"/>
      <c r="J20" s="18"/>
      <c r="K20" s="18"/>
    </row>
    <row r="22" spans="1:11" x14ac:dyDescent="0.35">
      <c r="A22" s="11" t="s">
        <v>10</v>
      </c>
      <c r="B22" s="12" t="s">
        <v>214</v>
      </c>
      <c r="C22" s="11" t="s">
        <v>215</v>
      </c>
      <c r="D22" s="13">
        <v>1</v>
      </c>
      <c r="E22" s="11" t="s">
        <v>39</v>
      </c>
      <c r="F22" s="14">
        <v>13600</v>
      </c>
      <c r="G22" s="15">
        <f t="shared" ref="G22:G28" si="0">D22*F22</f>
        <v>13600</v>
      </c>
      <c r="H22" s="11" t="s">
        <v>216</v>
      </c>
      <c r="I22" s="12" t="s">
        <v>217</v>
      </c>
      <c r="J22" s="16" t="s">
        <v>218</v>
      </c>
      <c r="K22" s="11" t="s">
        <v>43</v>
      </c>
    </row>
    <row r="23" spans="1:11" ht="28" x14ac:dyDescent="0.35">
      <c r="A23" s="11" t="s">
        <v>10</v>
      </c>
      <c r="B23" s="12" t="s">
        <v>219</v>
      </c>
      <c r="C23" s="11" t="s">
        <v>76</v>
      </c>
      <c r="D23" s="13">
        <v>2</v>
      </c>
      <c r="E23" s="11" t="s">
        <v>39</v>
      </c>
      <c r="F23" s="14">
        <v>4750</v>
      </c>
      <c r="G23" s="15">
        <f t="shared" si="0"/>
        <v>9500</v>
      </c>
      <c r="H23" s="11" t="s">
        <v>68</v>
      </c>
      <c r="I23" s="12" t="s">
        <v>69</v>
      </c>
      <c r="J23" s="16" t="s">
        <v>77</v>
      </c>
      <c r="K23" s="11" t="s">
        <v>43</v>
      </c>
    </row>
    <row r="24" spans="1:11" x14ac:dyDescent="0.35">
      <c r="A24" s="11" t="s">
        <v>10</v>
      </c>
      <c r="B24" s="12" t="s">
        <v>220</v>
      </c>
      <c r="C24" s="11" t="s">
        <v>79</v>
      </c>
      <c r="D24" s="13">
        <v>1</v>
      </c>
      <c r="E24" s="11" t="s">
        <v>39</v>
      </c>
      <c r="F24" s="14">
        <v>1345.58</v>
      </c>
      <c r="G24" s="15">
        <f t="shared" si="0"/>
        <v>1345.58</v>
      </c>
      <c r="H24" s="11" t="s">
        <v>40</v>
      </c>
      <c r="I24" s="12" t="s">
        <v>41</v>
      </c>
      <c r="J24" s="16" t="s">
        <v>221</v>
      </c>
      <c r="K24" s="11" t="s">
        <v>43</v>
      </c>
    </row>
    <row r="25" spans="1:11" x14ac:dyDescent="0.35">
      <c r="A25" s="11" t="s">
        <v>10</v>
      </c>
      <c r="B25" s="12" t="s">
        <v>222</v>
      </c>
      <c r="C25" s="11" t="s">
        <v>223</v>
      </c>
      <c r="D25" s="13">
        <v>1</v>
      </c>
      <c r="E25" s="11" t="s">
        <v>39</v>
      </c>
      <c r="F25" s="14">
        <v>1826.2</v>
      </c>
      <c r="G25" s="15">
        <f t="shared" si="0"/>
        <v>1826.2</v>
      </c>
      <c r="H25" s="11" t="s">
        <v>40</v>
      </c>
      <c r="I25" s="12" t="s">
        <v>224</v>
      </c>
      <c r="J25" s="16" t="s">
        <v>225</v>
      </c>
      <c r="K25" s="11" t="s">
        <v>43</v>
      </c>
    </row>
    <row r="26" spans="1:11" x14ac:dyDescent="0.35">
      <c r="A26" s="11" t="s">
        <v>10</v>
      </c>
      <c r="B26" s="12" t="s">
        <v>81</v>
      </c>
      <c r="C26" s="11" t="s">
        <v>79</v>
      </c>
      <c r="D26" s="13">
        <v>2</v>
      </c>
      <c r="E26" s="11" t="s">
        <v>39</v>
      </c>
      <c r="F26" s="14">
        <v>3003.49</v>
      </c>
      <c r="G26" s="15">
        <f t="shared" si="0"/>
        <v>6006.98</v>
      </c>
      <c r="H26" s="11" t="s">
        <v>40</v>
      </c>
      <c r="I26" s="12" t="s">
        <v>41</v>
      </c>
      <c r="J26" s="16" t="s">
        <v>82</v>
      </c>
      <c r="K26" s="11" t="s">
        <v>43</v>
      </c>
    </row>
    <row r="27" spans="1:11" x14ac:dyDescent="0.35">
      <c r="A27" s="11" t="s">
        <v>10</v>
      </c>
      <c r="B27" s="12" t="s">
        <v>226</v>
      </c>
      <c r="C27" s="11" t="s">
        <v>227</v>
      </c>
      <c r="D27" s="13">
        <v>1</v>
      </c>
      <c r="E27" s="11" t="s">
        <v>39</v>
      </c>
      <c r="F27" s="14">
        <v>23682.400000000001</v>
      </c>
      <c r="G27" s="15">
        <f t="shared" si="0"/>
        <v>23682.400000000001</v>
      </c>
      <c r="H27" s="11" t="s">
        <v>40</v>
      </c>
      <c r="I27" s="12" t="s">
        <v>224</v>
      </c>
      <c r="J27" s="16" t="s">
        <v>228</v>
      </c>
      <c r="K27" s="11" t="s">
        <v>43</v>
      </c>
    </row>
    <row r="28" spans="1:11" x14ac:dyDescent="0.35">
      <c r="A28" s="11" t="s">
        <v>10</v>
      </c>
      <c r="B28" s="12" t="s">
        <v>229</v>
      </c>
      <c r="C28" s="11" t="s">
        <v>105</v>
      </c>
      <c r="D28" s="13">
        <v>1</v>
      </c>
      <c r="E28" s="11" t="s">
        <v>39</v>
      </c>
      <c r="F28" s="14">
        <v>10000</v>
      </c>
      <c r="G28" s="15">
        <f t="shared" si="0"/>
        <v>10000</v>
      </c>
      <c r="H28" s="11" t="s">
        <v>46</v>
      </c>
      <c r="I28" s="12" t="s">
        <v>230</v>
      </c>
      <c r="J28" s="11"/>
      <c r="K28" s="11" t="s">
        <v>43</v>
      </c>
    </row>
    <row r="29" spans="1:11" x14ac:dyDescent="0.35">
      <c r="A29" s="17" t="s">
        <v>87</v>
      </c>
      <c r="B29" s="18"/>
      <c r="C29" s="18"/>
      <c r="D29" s="18"/>
      <c r="E29" s="18"/>
      <c r="F29" s="18"/>
      <c r="G29" s="19">
        <f>SUM(G22:G28)</f>
        <v>65961.16</v>
      </c>
      <c r="H29" s="18"/>
      <c r="I29" s="18"/>
      <c r="J29" s="18"/>
      <c r="K29" s="18"/>
    </row>
    <row r="31" spans="1:11" ht="28" x14ac:dyDescent="0.35">
      <c r="A31" s="11" t="s">
        <v>11</v>
      </c>
      <c r="B31" s="12" t="s">
        <v>231</v>
      </c>
      <c r="C31" s="11" t="s">
        <v>89</v>
      </c>
      <c r="D31" s="13">
        <v>40</v>
      </c>
      <c r="E31" s="11" t="s">
        <v>90</v>
      </c>
      <c r="F31" s="14">
        <v>1400</v>
      </c>
      <c r="G31" s="15">
        <f>D31*F31</f>
        <v>56000</v>
      </c>
      <c r="H31" s="11" t="s">
        <v>46</v>
      </c>
      <c r="I31" s="12" t="s">
        <v>232</v>
      </c>
      <c r="J31" s="16" t="s">
        <v>92</v>
      </c>
      <c r="K31" s="11" t="s">
        <v>43</v>
      </c>
    </row>
    <row r="32" spans="1:11" x14ac:dyDescent="0.35">
      <c r="A32" s="11" t="s">
        <v>11</v>
      </c>
      <c r="B32" s="12" t="s">
        <v>233</v>
      </c>
      <c r="C32" s="11" t="s">
        <v>234</v>
      </c>
      <c r="D32" s="13">
        <v>1</v>
      </c>
      <c r="E32" s="11" t="s">
        <v>39</v>
      </c>
      <c r="F32" s="14">
        <v>2732.41</v>
      </c>
      <c r="G32" s="15">
        <f>D32*F32</f>
        <v>2732.41</v>
      </c>
      <c r="H32" s="11" t="s">
        <v>68</v>
      </c>
      <c r="I32" s="12" t="s">
        <v>69</v>
      </c>
      <c r="J32" s="16" t="s">
        <v>235</v>
      </c>
      <c r="K32" s="11" t="s">
        <v>43</v>
      </c>
    </row>
    <row r="33" spans="1:11" x14ac:dyDescent="0.35">
      <c r="A33" s="11" t="s">
        <v>11</v>
      </c>
      <c r="B33" s="12" t="s">
        <v>236</v>
      </c>
      <c r="C33" s="11" t="s">
        <v>135</v>
      </c>
      <c r="D33" s="13">
        <v>8</v>
      </c>
      <c r="E33" s="11" t="s">
        <v>39</v>
      </c>
      <c r="F33" s="14">
        <v>1980</v>
      </c>
      <c r="G33" s="15">
        <f>D33*F33</f>
        <v>15840</v>
      </c>
      <c r="H33" s="11" t="s">
        <v>68</v>
      </c>
      <c r="I33" s="12" t="s">
        <v>69</v>
      </c>
      <c r="J33" s="16" t="s">
        <v>237</v>
      </c>
      <c r="K33" s="11" t="s">
        <v>43</v>
      </c>
    </row>
    <row r="34" spans="1:11" ht="28" x14ac:dyDescent="0.35">
      <c r="A34" s="11" t="s">
        <v>11</v>
      </c>
      <c r="B34" s="12" t="s">
        <v>238</v>
      </c>
      <c r="C34" s="11" t="s">
        <v>239</v>
      </c>
      <c r="D34" s="13">
        <v>3</v>
      </c>
      <c r="E34" s="11" t="s">
        <v>39</v>
      </c>
      <c r="F34" s="14">
        <v>9066.1200000000008</v>
      </c>
      <c r="G34" s="15">
        <f>D34*F34</f>
        <v>27198.36</v>
      </c>
      <c r="H34" s="11" t="s">
        <v>68</v>
      </c>
      <c r="I34" s="12" t="s">
        <v>69</v>
      </c>
      <c r="J34" s="16" t="s">
        <v>103</v>
      </c>
      <c r="K34" s="11" t="s">
        <v>43</v>
      </c>
    </row>
    <row r="35" spans="1:11" x14ac:dyDescent="0.35">
      <c r="A35" s="11" t="s">
        <v>11</v>
      </c>
      <c r="B35" s="12" t="s">
        <v>240</v>
      </c>
      <c r="C35" s="11" t="s">
        <v>105</v>
      </c>
      <c r="D35" s="13">
        <v>1</v>
      </c>
      <c r="E35" s="11" t="s">
        <v>51</v>
      </c>
      <c r="F35" s="14">
        <v>10000</v>
      </c>
      <c r="G35" s="15">
        <f>D35*F35</f>
        <v>10000</v>
      </c>
      <c r="H35" s="11" t="s">
        <v>46</v>
      </c>
      <c r="I35" s="12" t="s">
        <v>106</v>
      </c>
      <c r="J35" s="11"/>
      <c r="K35" s="11" t="s">
        <v>43</v>
      </c>
    </row>
    <row r="36" spans="1:11" x14ac:dyDescent="0.35">
      <c r="A36" s="17" t="s">
        <v>107</v>
      </c>
      <c r="B36" s="18"/>
      <c r="C36" s="18"/>
      <c r="D36" s="18"/>
      <c r="E36" s="18"/>
      <c r="F36" s="18"/>
      <c r="G36" s="19">
        <f>SUM(G31:G35)</f>
        <v>111770.77</v>
      </c>
      <c r="H36" s="18"/>
      <c r="I36" s="18"/>
      <c r="J36" s="18"/>
      <c r="K36" s="18"/>
    </row>
    <row r="38" spans="1:11" ht="28" x14ac:dyDescent="0.35">
      <c r="A38" s="11" t="s">
        <v>12</v>
      </c>
      <c r="B38" s="12" t="s">
        <v>241</v>
      </c>
      <c r="C38" s="11" t="s">
        <v>242</v>
      </c>
      <c r="D38" s="13">
        <v>70</v>
      </c>
      <c r="E38" s="11" t="s">
        <v>110</v>
      </c>
      <c r="F38" s="14">
        <v>900</v>
      </c>
      <c r="G38" s="15">
        <f>D38*F38</f>
        <v>63000</v>
      </c>
      <c r="H38" s="11" t="s">
        <v>46</v>
      </c>
      <c r="I38" s="12" t="s">
        <v>243</v>
      </c>
      <c r="J38" s="16" t="s">
        <v>244</v>
      </c>
      <c r="K38" s="11" t="s">
        <v>43</v>
      </c>
    </row>
    <row r="39" spans="1:11" ht="28" x14ac:dyDescent="0.35">
      <c r="A39" s="11" t="s">
        <v>12</v>
      </c>
      <c r="B39" s="12" t="s">
        <v>245</v>
      </c>
      <c r="C39" s="11" t="s">
        <v>246</v>
      </c>
      <c r="D39" s="13">
        <v>110</v>
      </c>
      <c r="E39" s="11" t="s">
        <v>110</v>
      </c>
      <c r="F39" s="14">
        <v>900</v>
      </c>
      <c r="G39" s="15">
        <f>D39*F39</f>
        <v>99000</v>
      </c>
      <c r="H39" s="11" t="s">
        <v>46</v>
      </c>
      <c r="I39" s="12" t="s">
        <v>247</v>
      </c>
      <c r="J39" s="16" t="s">
        <v>117</v>
      </c>
      <c r="K39" s="11" t="s">
        <v>43</v>
      </c>
    </row>
    <row r="40" spans="1:11" x14ac:dyDescent="0.35">
      <c r="A40" s="17" t="s">
        <v>118</v>
      </c>
      <c r="B40" s="18"/>
      <c r="C40" s="18"/>
      <c r="D40" s="18"/>
      <c r="E40" s="18"/>
      <c r="F40" s="18"/>
      <c r="G40" s="19">
        <f>SUM(G38:G39)</f>
        <v>162000</v>
      </c>
      <c r="H40" s="18"/>
      <c r="I40" s="18"/>
      <c r="J40" s="18"/>
      <c r="K40" s="18"/>
    </row>
    <row r="42" spans="1:11" x14ac:dyDescent="0.35">
      <c r="A42" s="11" t="s">
        <v>13</v>
      </c>
      <c r="B42" s="12" t="s">
        <v>119</v>
      </c>
      <c r="C42" s="11" t="s">
        <v>60</v>
      </c>
      <c r="D42" s="13">
        <v>130</v>
      </c>
      <c r="E42" s="11" t="s">
        <v>110</v>
      </c>
      <c r="F42" s="14">
        <v>60</v>
      </c>
      <c r="G42" s="15">
        <f t="shared" ref="G42:G50" si="1">D42*F42</f>
        <v>7800</v>
      </c>
      <c r="H42" s="11" t="s">
        <v>46</v>
      </c>
      <c r="I42" s="12" t="s">
        <v>248</v>
      </c>
      <c r="J42" s="11"/>
      <c r="K42" s="11" t="s">
        <v>43</v>
      </c>
    </row>
    <row r="43" spans="1:11" x14ac:dyDescent="0.35">
      <c r="A43" s="11" t="s">
        <v>13</v>
      </c>
      <c r="B43" s="12" t="s">
        <v>121</v>
      </c>
      <c r="C43" s="11" t="s">
        <v>60</v>
      </c>
      <c r="D43" s="13">
        <v>130</v>
      </c>
      <c r="E43" s="11" t="s">
        <v>110</v>
      </c>
      <c r="F43" s="14">
        <v>90</v>
      </c>
      <c r="G43" s="15">
        <f t="shared" si="1"/>
        <v>11700</v>
      </c>
      <c r="H43" s="11" t="s">
        <v>46</v>
      </c>
      <c r="I43" s="12" t="s">
        <v>248</v>
      </c>
      <c r="J43" s="11"/>
      <c r="K43" s="11" t="s">
        <v>43</v>
      </c>
    </row>
    <row r="44" spans="1:11" x14ac:dyDescent="0.35">
      <c r="A44" s="11" t="s">
        <v>13</v>
      </c>
      <c r="B44" s="12" t="s">
        <v>123</v>
      </c>
      <c r="C44" s="11" t="s">
        <v>124</v>
      </c>
      <c r="D44" s="13">
        <v>130</v>
      </c>
      <c r="E44" s="11" t="s">
        <v>110</v>
      </c>
      <c r="F44" s="14">
        <v>137.79</v>
      </c>
      <c r="G44" s="15">
        <f t="shared" si="1"/>
        <v>17912.7</v>
      </c>
      <c r="H44" s="11" t="s">
        <v>111</v>
      </c>
      <c r="I44" s="12" t="s">
        <v>125</v>
      </c>
      <c r="J44" s="16" t="s">
        <v>126</v>
      </c>
      <c r="K44" s="11" t="s">
        <v>43</v>
      </c>
    </row>
    <row r="45" spans="1:11" x14ac:dyDescent="0.35">
      <c r="A45" s="11" t="s">
        <v>13</v>
      </c>
      <c r="B45" s="12" t="s">
        <v>127</v>
      </c>
      <c r="C45" s="11" t="s">
        <v>128</v>
      </c>
      <c r="D45" s="13">
        <v>130</v>
      </c>
      <c r="E45" s="11" t="s">
        <v>110</v>
      </c>
      <c r="F45" s="14">
        <v>65.7</v>
      </c>
      <c r="G45" s="15">
        <f t="shared" si="1"/>
        <v>8541</v>
      </c>
      <c r="H45" s="11" t="s">
        <v>111</v>
      </c>
      <c r="I45" s="12" t="s">
        <v>125</v>
      </c>
      <c r="J45" s="16" t="s">
        <v>129</v>
      </c>
      <c r="K45" s="11" t="s">
        <v>43</v>
      </c>
    </row>
    <row r="46" spans="1:11" ht="28" x14ac:dyDescent="0.35">
      <c r="A46" s="11" t="s">
        <v>13</v>
      </c>
      <c r="B46" s="12" t="s">
        <v>249</v>
      </c>
      <c r="C46" s="11" t="s">
        <v>250</v>
      </c>
      <c r="D46" s="13">
        <v>143</v>
      </c>
      <c r="E46" s="11" t="s">
        <v>110</v>
      </c>
      <c r="F46" s="14">
        <v>174.9</v>
      </c>
      <c r="G46" s="15">
        <f t="shared" si="1"/>
        <v>25010.7</v>
      </c>
      <c r="H46" s="11" t="s">
        <v>40</v>
      </c>
      <c r="I46" s="12" t="s">
        <v>251</v>
      </c>
      <c r="J46" s="16" t="s">
        <v>252</v>
      </c>
      <c r="K46" s="11" t="s">
        <v>43</v>
      </c>
    </row>
    <row r="47" spans="1:11" x14ac:dyDescent="0.35">
      <c r="A47" s="11" t="s">
        <v>13</v>
      </c>
      <c r="B47" s="12" t="s">
        <v>253</v>
      </c>
      <c r="C47" s="11" t="s">
        <v>60</v>
      </c>
      <c r="D47" s="13">
        <v>130</v>
      </c>
      <c r="E47" s="11" t="s">
        <v>110</v>
      </c>
      <c r="F47" s="14">
        <v>60</v>
      </c>
      <c r="G47" s="15">
        <f t="shared" si="1"/>
        <v>7800</v>
      </c>
      <c r="H47" s="11" t="s">
        <v>46</v>
      </c>
      <c r="I47" s="12" t="s">
        <v>248</v>
      </c>
      <c r="J47" s="11"/>
      <c r="K47" s="11" t="s">
        <v>43</v>
      </c>
    </row>
    <row r="48" spans="1:11" x14ac:dyDescent="0.35">
      <c r="A48" s="11" t="s">
        <v>13</v>
      </c>
      <c r="B48" s="12" t="s">
        <v>254</v>
      </c>
      <c r="C48" s="11" t="s">
        <v>255</v>
      </c>
      <c r="D48" s="13">
        <v>18</v>
      </c>
      <c r="E48" s="11" t="s">
        <v>39</v>
      </c>
      <c r="F48" s="14">
        <v>740.74</v>
      </c>
      <c r="G48" s="15">
        <f t="shared" si="1"/>
        <v>13333.32</v>
      </c>
      <c r="H48" s="11" t="s">
        <v>68</v>
      </c>
      <c r="I48" s="12" t="s">
        <v>69</v>
      </c>
      <c r="J48" s="16" t="s">
        <v>256</v>
      </c>
      <c r="K48" s="11" t="s">
        <v>43</v>
      </c>
    </row>
    <row r="49" spans="1:11" x14ac:dyDescent="0.35">
      <c r="A49" s="11" t="s">
        <v>13</v>
      </c>
      <c r="B49" s="12" t="s">
        <v>257</v>
      </c>
      <c r="C49" s="11" t="s">
        <v>258</v>
      </c>
      <c r="D49" s="13">
        <v>45</v>
      </c>
      <c r="E49" s="11" t="s">
        <v>110</v>
      </c>
      <c r="F49" s="14">
        <v>461.34</v>
      </c>
      <c r="G49" s="15">
        <f t="shared" si="1"/>
        <v>20760.3</v>
      </c>
      <c r="H49" s="11" t="s">
        <v>40</v>
      </c>
      <c r="I49" s="12" t="s">
        <v>259</v>
      </c>
      <c r="J49" s="16" t="s">
        <v>260</v>
      </c>
      <c r="K49" s="11" t="s">
        <v>43</v>
      </c>
    </row>
    <row r="50" spans="1:11" x14ac:dyDescent="0.35">
      <c r="A50" s="11" t="s">
        <v>13</v>
      </c>
      <c r="B50" s="12" t="s">
        <v>261</v>
      </c>
      <c r="C50" s="11" t="s">
        <v>45</v>
      </c>
      <c r="D50" s="13">
        <v>45</v>
      </c>
      <c r="E50" s="11" t="s">
        <v>110</v>
      </c>
      <c r="F50" s="14">
        <v>80</v>
      </c>
      <c r="G50" s="15">
        <f t="shared" si="1"/>
        <v>3600</v>
      </c>
      <c r="H50" s="11" t="s">
        <v>46</v>
      </c>
      <c r="I50" s="12" t="s">
        <v>248</v>
      </c>
      <c r="J50" s="11"/>
      <c r="K50" s="11" t="s">
        <v>43</v>
      </c>
    </row>
    <row r="51" spans="1:11" x14ac:dyDescent="0.35">
      <c r="A51" s="17" t="s">
        <v>137</v>
      </c>
      <c r="B51" s="18"/>
      <c r="C51" s="18"/>
      <c r="D51" s="18"/>
      <c r="E51" s="18"/>
      <c r="F51" s="18"/>
      <c r="G51" s="19">
        <f>SUM(G42:G50)</f>
        <v>116458.02</v>
      </c>
      <c r="H51" s="18"/>
      <c r="I51" s="18"/>
      <c r="J51" s="18"/>
      <c r="K51" s="18"/>
    </row>
    <row r="53" spans="1:11" ht="28" x14ac:dyDescent="0.35">
      <c r="A53" s="11" t="s">
        <v>14</v>
      </c>
      <c r="B53" s="12" t="s">
        <v>138</v>
      </c>
      <c r="C53" s="11" t="s">
        <v>139</v>
      </c>
      <c r="D53" s="13">
        <v>1</v>
      </c>
      <c r="E53" s="11" t="s">
        <v>51</v>
      </c>
      <c r="F53" s="14">
        <v>90000</v>
      </c>
      <c r="G53" s="15">
        <f>D53*F53</f>
        <v>90000</v>
      </c>
      <c r="H53" s="11" t="s">
        <v>46</v>
      </c>
      <c r="I53" s="12" t="s">
        <v>262</v>
      </c>
      <c r="J53" s="16" t="s">
        <v>141</v>
      </c>
      <c r="K53" s="11" t="s">
        <v>43</v>
      </c>
    </row>
    <row r="54" spans="1:11" ht="28" x14ac:dyDescent="0.35">
      <c r="A54" s="11" t="s">
        <v>14</v>
      </c>
      <c r="B54" s="12" t="s">
        <v>142</v>
      </c>
      <c r="C54" s="11" t="s">
        <v>143</v>
      </c>
      <c r="D54" s="13">
        <v>1</v>
      </c>
      <c r="E54" s="11" t="s">
        <v>51</v>
      </c>
      <c r="F54" s="14">
        <v>65000</v>
      </c>
      <c r="G54" s="15">
        <f>D54*F54</f>
        <v>65000</v>
      </c>
      <c r="H54" s="11" t="s">
        <v>46</v>
      </c>
      <c r="I54" s="12" t="s">
        <v>262</v>
      </c>
      <c r="J54" s="16" t="s">
        <v>145</v>
      </c>
      <c r="K54" s="11" t="s">
        <v>43</v>
      </c>
    </row>
    <row r="55" spans="1:11" x14ac:dyDescent="0.35">
      <c r="A55" s="11" t="s">
        <v>14</v>
      </c>
      <c r="B55" s="12" t="s">
        <v>146</v>
      </c>
      <c r="C55" s="11" t="s">
        <v>147</v>
      </c>
      <c r="D55" s="13">
        <v>1</v>
      </c>
      <c r="E55" s="11" t="s">
        <v>51</v>
      </c>
      <c r="F55" s="14">
        <v>15000</v>
      </c>
      <c r="G55" s="15">
        <f>D55*F55</f>
        <v>15000</v>
      </c>
      <c r="H55" s="11" t="s">
        <v>46</v>
      </c>
      <c r="I55" s="12" t="s">
        <v>148</v>
      </c>
      <c r="J55" s="11"/>
      <c r="K55" s="11" t="s">
        <v>43</v>
      </c>
    </row>
    <row r="56" spans="1:11" x14ac:dyDescent="0.35">
      <c r="A56" s="11" t="s">
        <v>14</v>
      </c>
      <c r="B56" s="12" t="s">
        <v>149</v>
      </c>
      <c r="C56" s="11" t="s">
        <v>60</v>
      </c>
      <c r="D56" s="13">
        <v>1</v>
      </c>
      <c r="E56" s="11" t="s">
        <v>51</v>
      </c>
      <c r="F56" s="14">
        <v>25000</v>
      </c>
      <c r="G56" s="15">
        <f>D56*F56</f>
        <v>25000</v>
      </c>
      <c r="H56" s="11" t="s">
        <v>46</v>
      </c>
      <c r="I56" s="12" t="s">
        <v>263</v>
      </c>
      <c r="J56" s="11"/>
      <c r="K56" s="11" t="s">
        <v>43</v>
      </c>
    </row>
    <row r="57" spans="1:11" x14ac:dyDescent="0.35">
      <c r="A57" s="11" t="s">
        <v>14</v>
      </c>
      <c r="B57" s="12" t="s">
        <v>151</v>
      </c>
      <c r="C57" s="11" t="s">
        <v>152</v>
      </c>
      <c r="D57" s="13">
        <v>1</v>
      </c>
      <c r="E57" s="11" t="s">
        <v>51</v>
      </c>
      <c r="F57" s="14">
        <v>45000</v>
      </c>
      <c r="G57" s="15">
        <f>D57*F57</f>
        <v>45000</v>
      </c>
      <c r="H57" s="11" t="s">
        <v>46</v>
      </c>
      <c r="I57" s="12" t="s">
        <v>264</v>
      </c>
      <c r="J57" s="11"/>
      <c r="K57" s="11" t="s">
        <v>43</v>
      </c>
    </row>
    <row r="58" spans="1:11" x14ac:dyDescent="0.35">
      <c r="A58" s="17" t="s">
        <v>154</v>
      </c>
      <c r="B58" s="18"/>
      <c r="C58" s="18"/>
      <c r="D58" s="18"/>
      <c r="E58" s="18"/>
      <c r="F58" s="18"/>
      <c r="G58" s="19">
        <f>SUM(G53:G57)</f>
        <v>240000</v>
      </c>
      <c r="H58" s="18"/>
      <c r="I58" s="18"/>
      <c r="J58" s="18"/>
      <c r="K58" s="18"/>
    </row>
    <row r="60" spans="1:11" x14ac:dyDescent="0.35">
      <c r="A60" s="11" t="s">
        <v>15</v>
      </c>
      <c r="B60" s="12" t="s">
        <v>155</v>
      </c>
      <c r="C60" s="11" t="s">
        <v>60</v>
      </c>
      <c r="D60" s="13">
        <v>1</v>
      </c>
      <c r="E60" s="11" t="s">
        <v>51</v>
      </c>
      <c r="F60" s="14">
        <v>80000</v>
      </c>
      <c r="G60" s="15">
        <f>D60*F60</f>
        <v>80000</v>
      </c>
      <c r="H60" s="11" t="s">
        <v>46</v>
      </c>
      <c r="I60" s="12" t="s">
        <v>156</v>
      </c>
      <c r="J60" s="11"/>
      <c r="K60" s="11" t="s">
        <v>43</v>
      </c>
    </row>
    <row r="61" spans="1:11" x14ac:dyDescent="0.35">
      <c r="A61" s="17" t="s">
        <v>157</v>
      </c>
      <c r="B61" s="18"/>
      <c r="C61" s="18"/>
      <c r="D61" s="18"/>
      <c r="E61" s="18"/>
      <c r="F61" s="18"/>
      <c r="G61" s="19">
        <f>SUM(G60:G60)</f>
        <v>80000</v>
      </c>
      <c r="H61" s="18"/>
      <c r="I61" s="18"/>
      <c r="J61" s="18"/>
      <c r="K61" s="18"/>
    </row>
    <row r="63" spans="1:11" ht="28" x14ac:dyDescent="0.35">
      <c r="A63" s="11" t="s">
        <v>16</v>
      </c>
      <c r="B63" s="12" t="s">
        <v>265</v>
      </c>
      <c r="C63" s="11" t="s">
        <v>105</v>
      </c>
      <c r="D63" s="13">
        <v>1</v>
      </c>
      <c r="E63" s="11" t="s">
        <v>51</v>
      </c>
      <c r="F63" s="14">
        <v>10000</v>
      </c>
      <c r="G63" s="15">
        <f>D63*F63</f>
        <v>10000</v>
      </c>
      <c r="H63" s="11" t="s">
        <v>46</v>
      </c>
      <c r="I63" s="12" t="s">
        <v>106</v>
      </c>
      <c r="J63" s="11"/>
      <c r="K63" s="11" t="s">
        <v>43</v>
      </c>
    </row>
    <row r="64" spans="1:11" x14ac:dyDescent="0.35">
      <c r="A64" s="11" t="s">
        <v>16</v>
      </c>
      <c r="B64" s="12" t="s">
        <v>266</v>
      </c>
      <c r="C64" s="11" t="s">
        <v>267</v>
      </c>
      <c r="D64" s="13">
        <v>1</v>
      </c>
      <c r="E64" s="11" t="s">
        <v>51</v>
      </c>
      <c r="F64" s="14">
        <v>25000</v>
      </c>
      <c r="G64" s="15">
        <f>D64*F64</f>
        <v>25000</v>
      </c>
      <c r="H64" s="11" t="s">
        <v>46</v>
      </c>
      <c r="I64" s="12" t="s">
        <v>106</v>
      </c>
      <c r="J64" s="11"/>
      <c r="K64" s="11" t="s">
        <v>43</v>
      </c>
    </row>
    <row r="65" spans="1:11" x14ac:dyDescent="0.35">
      <c r="A65" s="11" t="s">
        <v>16</v>
      </c>
      <c r="B65" s="12" t="s">
        <v>268</v>
      </c>
      <c r="C65" s="11" t="s">
        <v>269</v>
      </c>
      <c r="D65" s="13">
        <v>1</v>
      </c>
      <c r="E65" s="11" t="s">
        <v>51</v>
      </c>
      <c r="F65" s="14">
        <v>8000</v>
      </c>
      <c r="G65" s="15">
        <f>D65*F65</f>
        <v>8000</v>
      </c>
      <c r="H65" s="11" t="s">
        <v>46</v>
      </c>
      <c r="I65" s="12" t="s">
        <v>106</v>
      </c>
      <c r="J65" s="11"/>
      <c r="K65" s="11" t="s">
        <v>43</v>
      </c>
    </row>
    <row r="66" spans="1:11" ht="28" x14ac:dyDescent="0.35">
      <c r="A66" s="11" t="s">
        <v>16</v>
      </c>
      <c r="B66" s="12" t="s">
        <v>270</v>
      </c>
      <c r="C66" s="11" t="s">
        <v>271</v>
      </c>
      <c r="D66" s="13">
        <v>1</v>
      </c>
      <c r="E66" s="11" t="s">
        <v>51</v>
      </c>
      <c r="F66" s="14">
        <v>15000</v>
      </c>
      <c r="G66" s="15">
        <f>D66*F66</f>
        <v>15000</v>
      </c>
      <c r="H66" s="11" t="s">
        <v>46</v>
      </c>
      <c r="I66" s="12" t="s">
        <v>272</v>
      </c>
      <c r="J66" s="11"/>
      <c r="K66" s="11" t="s">
        <v>43</v>
      </c>
    </row>
    <row r="67" spans="1:11" x14ac:dyDescent="0.35">
      <c r="A67" s="17" t="s">
        <v>159</v>
      </c>
      <c r="B67" s="18"/>
      <c r="C67" s="18"/>
      <c r="D67" s="18"/>
      <c r="E67" s="18"/>
      <c r="F67" s="18"/>
      <c r="G67" s="19">
        <f>SUM(G63:G66)</f>
        <v>58000</v>
      </c>
      <c r="H67" s="18"/>
      <c r="I67" s="18"/>
      <c r="J67" s="18"/>
      <c r="K67" s="18"/>
    </row>
    <row r="69" spans="1:11" x14ac:dyDescent="0.35">
      <c r="A69" s="11" t="s">
        <v>17</v>
      </c>
      <c r="B69" s="12" t="s">
        <v>160</v>
      </c>
      <c r="C69" s="11" t="s">
        <v>161</v>
      </c>
      <c r="D69" s="13">
        <v>1</v>
      </c>
      <c r="E69" s="11" t="s">
        <v>51</v>
      </c>
      <c r="F69" s="14">
        <v>4000</v>
      </c>
      <c r="G69" s="15">
        <f t="shared" ref="G69:G75" si="2">D69*F69</f>
        <v>4000</v>
      </c>
      <c r="H69" s="11" t="s">
        <v>46</v>
      </c>
      <c r="I69" s="12" t="s">
        <v>248</v>
      </c>
      <c r="J69" s="11"/>
      <c r="K69" s="11" t="s">
        <v>43</v>
      </c>
    </row>
    <row r="70" spans="1:11" x14ac:dyDescent="0.35">
      <c r="A70" s="11" t="s">
        <v>17</v>
      </c>
      <c r="B70" s="12" t="s">
        <v>163</v>
      </c>
      <c r="C70" s="11" t="s">
        <v>164</v>
      </c>
      <c r="D70" s="13">
        <v>1</v>
      </c>
      <c r="E70" s="11" t="s">
        <v>51</v>
      </c>
      <c r="F70" s="14">
        <v>22000</v>
      </c>
      <c r="G70" s="15">
        <f t="shared" si="2"/>
        <v>22000</v>
      </c>
      <c r="H70" s="11" t="s">
        <v>46</v>
      </c>
      <c r="I70" s="12" t="s">
        <v>165</v>
      </c>
      <c r="J70" s="16" t="s">
        <v>166</v>
      </c>
      <c r="K70" s="11" t="s">
        <v>43</v>
      </c>
    </row>
    <row r="71" spans="1:11" x14ac:dyDescent="0.35">
      <c r="A71" s="11" t="s">
        <v>17</v>
      </c>
      <c r="B71" s="12" t="s">
        <v>273</v>
      </c>
      <c r="C71" s="11" t="s">
        <v>168</v>
      </c>
      <c r="D71" s="13">
        <v>1</v>
      </c>
      <c r="E71" s="11" t="s">
        <v>51</v>
      </c>
      <c r="F71" s="14">
        <v>110000</v>
      </c>
      <c r="G71" s="15">
        <f t="shared" si="2"/>
        <v>110000</v>
      </c>
      <c r="H71" s="11" t="s">
        <v>46</v>
      </c>
      <c r="I71" s="12" t="s">
        <v>169</v>
      </c>
      <c r="J71" s="16" t="s">
        <v>170</v>
      </c>
      <c r="K71" s="11" t="s">
        <v>43</v>
      </c>
    </row>
    <row r="72" spans="1:11" x14ac:dyDescent="0.35">
      <c r="A72" s="11" t="s">
        <v>17</v>
      </c>
      <c r="B72" s="12" t="s">
        <v>171</v>
      </c>
      <c r="C72" s="11" t="s">
        <v>172</v>
      </c>
      <c r="D72" s="13">
        <v>175</v>
      </c>
      <c r="E72" s="11" t="s">
        <v>110</v>
      </c>
      <c r="F72" s="14">
        <v>6.97</v>
      </c>
      <c r="G72" s="15">
        <f t="shared" si="2"/>
        <v>1219.75</v>
      </c>
      <c r="H72" s="11" t="s">
        <v>111</v>
      </c>
      <c r="I72" s="12" t="s">
        <v>173</v>
      </c>
      <c r="J72" s="16" t="s">
        <v>174</v>
      </c>
      <c r="K72" s="11" t="s">
        <v>43</v>
      </c>
    </row>
    <row r="73" spans="1:11" x14ac:dyDescent="0.35">
      <c r="A73" s="11" t="s">
        <v>17</v>
      </c>
      <c r="B73" s="12" t="s">
        <v>175</v>
      </c>
      <c r="C73" s="11" t="s">
        <v>172</v>
      </c>
      <c r="D73" s="13">
        <v>1</v>
      </c>
      <c r="E73" s="11" t="s">
        <v>39</v>
      </c>
      <c r="F73" s="14">
        <v>1116.27</v>
      </c>
      <c r="G73" s="15">
        <f t="shared" si="2"/>
        <v>1116.27</v>
      </c>
      <c r="H73" s="11" t="s">
        <v>111</v>
      </c>
      <c r="I73" s="12" t="s">
        <v>173</v>
      </c>
      <c r="J73" s="16" t="s">
        <v>174</v>
      </c>
      <c r="K73" s="11" t="s">
        <v>43</v>
      </c>
    </row>
    <row r="74" spans="1:11" x14ac:dyDescent="0.35">
      <c r="A74" s="11" t="s">
        <v>17</v>
      </c>
      <c r="B74" s="12" t="s">
        <v>176</v>
      </c>
      <c r="C74" s="11" t="s">
        <v>177</v>
      </c>
      <c r="D74" s="13">
        <v>1</v>
      </c>
      <c r="E74" s="11" t="s">
        <v>51</v>
      </c>
      <c r="F74" s="14">
        <v>15000</v>
      </c>
      <c r="G74" s="15">
        <f t="shared" si="2"/>
        <v>15000</v>
      </c>
      <c r="H74" s="11" t="s">
        <v>46</v>
      </c>
      <c r="I74" s="12" t="s">
        <v>178</v>
      </c>
      <c r="J74" s="16" t="s">
        <v>179</v>
      </c>
      <c r="K74" s="11" t="s">
        <v>43</v>
      </c>
    </row>
    <row r="75" spans="1:11" x14ac:dyDescent="0.35">
      <c r="A75" s="11" t="s">
        <v>17</v>
      </c>
      <c r="B75" s="12" t="s">
        <v>180</v>
      </c>
      <c r="C75" s="11" t="s">
        <v>181</v>
      </c>
      <c r="D75" s="13">
        <v>2</v>
      </c>
      <c r="E75" s="11" t="s">
        <v>182</v>
      </c>
      <c r="F75" s="14">
        <v>147.53</v>
      </c>
      <c r="G75" s="15">
        <f t="shared" si="2"/>
        <v>295.06</v>
      </c>
      <c r="H75" s="11" t="s">
        <v>111</v>
      </c>
      <c r="I75" s="12" t="s">
        <v>274</v>
      </c>
      <c r="J75" s="16" t="s">
        <v>184</v>
      </c>
      <c r="K75" s="11" t="s">
        <v>43</v>
      </c>
    </row>
    <row r="76" spans="1:11" x14ac:dyDescent="0.35">
      <c r="A76" s="17" t="s">
        <v>185</v>
      </c>
      <c r="B76" s="18"/>
      <c r="C76" s="18"/>
      <c r="D76" s="18"/>
      <c r="E76" s="18"/>
      <c r="F76" s="18"/>
      <c r="G76" s="19">
        <f>SUM(G69:G75)</f>
        <v>153631.07999999999</v>
      </c>
      <c r="H76" s="18"/>
      <c r="I76" s="18"/>
      <c r="J76" s="18"/>
      <c r="K76" s="18"/>
    </row>
    <row r="78" spans="1:11" x14ac:dyDescent="0.35">
      <c r="B78" s="6" t="s">
        <v>186</v>
      </c>
      <c r="G78" s="20">
        <f>G7+G11+G16+G20+G29+G36+G40+G51+G58+G61+G67+G76</f>
        <v>1563903.37</v>
      </c>
    </row>
    <row r="79" spans="1:11" x14ac:dyDescent="0.35">
      <c r="B79" s="6" t="s">
        <v>187</v>
      </c>
      <c r="G79" s="20">
        <f>G40+G51+G58+G61+G67</f>
        <v>656458.02</v>
      </c>
    </row>
    <row r="80" spans="1:11" x14ac:dyDescent="0.35">
      <c r="B80" s="2" t="s">
        <v>188</v>
      </c>
      <c r="F80" s="21">
        <v>0.15</v>
      </c>
    </row>
    <row r="81" spans="1:11" x14ac:dyDescent="0.35">
      <c r="B81" s="6" t="s">
        <v>189</v>
      </c>
      <c r="G81" s="20">
        <f>G79*F80</f>
        <v>98468.702999999994</v>
      </c>
    </row>
    <row r="82" spans="1:11" x14ac:dyDescent="0.35">
      <c r="B82" s="2" t="s">
        <v>190</v>
      </c>
      <c r="F82" s="21">
        <v>0.12</v>
      </c>
    </row>
    <row r="83" spans="1:11" x14ac:dyDescent="0.35">
      <c r="B83" s="6" t="s">
        <v>191</v>
      </c>
      <c r="G83" s="20">
        <f>(G78+G81)*F82</f>
        <v>199484.64876000001</v>
      </c>
    </row>
    <row r="84" spans="1:11" x14ac:dyDescent="0.35">
      <c r="A84" s="22"/>
      <c r="B84" s="23" t="s">
        <v>192</v>
      </c>
      <c r="C84" s="22"/>
      <c r="D84" s="22"/>
      <c r="E84" s="22"/>
      <c r="F84" s="22"/>
      <c r="G84" s="24">
        <f>G78+G81+G83</f>
        <v>1861856.7217600001</v>
      </c>
      <c r="H84" s="22"/>
      <c r="I84" s="22"/>
      <c r="J84" s="22"/>
      <c r="K84" s="22"/>
    </row>
  </sheetData>
  <hyperlinks>
    <hyperlink ref="J5" r:id="rId1" xr:uid="{00000000-0004-0000-0200-000000000000}"/>
    <hyperlink ref="J9" r:id="rId2" xr:uid="{00000000-0004-0000-0200-000001000000}"/>
    <hyperlink ref="J10" r:id="rId3" xr:uid="{00000000-0004-0000-0200-000002000000}"/>
    <hyperlink ref="J13" r:id="rId4" xr:uid="{00000000-0004-0000-0200-000003000000}"/>
    <hyperlink ref="J14" r:id="rId5" xr:uid="{00000000-0004-0000-0200-000004000000}"/>
    <hyperlink ref="J15" r:id="rId6" xr:uid="{00000000-0004-0000-0200-000005000000}"/>
    <hyperlink ref="J18" r:id="rId7" xr:uid="{00000000-0004-0000-0200-000006000000}"/>
    <hyperlink ref="J22" r:id="rId8" xr:uid="{00000000-0004-0000-0200-000007000000}"/>
    <hyperlink ref="J23" r:id="rId9" xr:uid="{00000000-0004-0000-0200-000008000000}"/>
    <hyperlink ref="J24" r:id="rId10" xr:uid="{00000000-0004-0000-0200-000009000000}"/>
    <hyperlink ref="J25" r:id="rId11" xr:uid="{00000000-0004-0000-0200-00000A000000}"/>
    <hyperlink ref="J26" r:id="rId12" xr:uid="{00000000-0004-0000-0200-00000B000000}"/>
    <hyperlink ref="J27" r:id="rId13" xr:uid="{00000000-0004-0000-0200-00000C000000}"/>
    <hyperlink ref="J31" r:id="rId14" xr:uid="{00000000-0004-0000-0200-00000D000000}"/>
    <hyperlink ref="J32" r:id="rId15" xr:uid="{00000000-0004-0000-0200-00000E000000}"/>
    <hyperlink ref="J33" r:id="rId16" xr:uid="{00000000-0004-0000-0200-00000F000000}"/>
    <hyperlink ref="J34" r:id="rId17" xr:uid="{00000000-0004-0000-0200-000010000000}"/>
    <hyperlink ref="J38" r:id="rId18" xr:uid="{00000000-0004-0000-0200-000011000000}"/>
    <hyperlink ref="J39" r:id="rId19" xr:uid="{00000000-0004-0000-0200-000012000000}"/>
    <hyperlink ref="J44" r:id="rId20" xr:uid="{00000000-0004-0000-0200-000013000000}"/>
    <hyperlink ref="J45" r:id="rId21" xr:uid="{00000000-0004-0000-0200-000014000000}"/>
    <hyperlink ref="J46" r:id="rId22" xr:uid="{00000000-0004-0000-0200-000015000000}"/>
    <hyperlink ref="J48" r:id="rId23" xr:uid="{00000000-0004-0000-0200-000016000000}"/>
    <hyperlink ref="J49" r:id="rId24" xr:uid="{00000000-0004-0000-0200-000017000000}"/>
    <hyperlink ref="J53" r:id="rId25" xr:uid="{00000000-0004-0000-0200-000018000000}"/>
    <hyperlink ref="J54" r:id="rId26" xr:uid="{00000000-0004-0000-0200-000019000000}"/>
    <hyperlink ref="J70" r:id="rId27" xr:uid="{00000000-0004-0000-0200-00001A000000}"/>
    <hyperlink ref="J71" r:id="rId28" xr:uid="{00000000-0004-0000-0200-00001B000000}"/>
    <hyperlink ref="J72" r:id="rId29" xr:uid="{00000000-0004-0000-0200-00001C000000}"/>
    <hyperlink ref="J73" r:id="rId30" xr:uid="{00000000-0004-0000-0200-00001D000000}"/>
    <hyperlink ref="J74" r:id="rId31" xr:uid="{00000000-0004-0000-0200-00001E000000}"/>
    <hyperlink ref="J75" r:id="rId32" xr:uid="{00000000-0004-0000-0200-00001F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4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4" customWidth="1"/>
    <col min="2" max="2" width="60" customWidth="1"/>
    <col min="3" max="3" width="26" customWidth="1"/>
    <col min="4" max="5" width="7" customWidth="1"/>
    <col min="6" max="6" width="15" customWidth="1"/>
    <col min="7" max="7" width="16" customWidth="1"/>
    <col min="8" max="8" width="22" customWidth="1"/>
    <col min="9" max="9" width="50" customWidth="1"/>
    <col min="10" max="10" width="40" customWidth="1"/>
    <col min="11" max="11" width="14" customWidth="1"/>
  </cols>
  <sheetData>
    <row r="1" spans="1:11" ht="18" x14ac:dyDescent="0.4">
      <c r="A1" s="1" t="s">
        <v>275</v>
      </c>
    </row>
    <row r="2" spans="1:11" x14ac:dyDescent="0.35">
      <c r="A2" s="2" t="s">
        <v>276</v>
      </c>
    </row>
    <row r="4" spans="1:11" ht="28" x14ac:dyDescent="0.35">
      <c r="A4" s="3" t="s">
        <v>2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  <c r="J4" s="3" t="s">
        <v>35</v>
      </c>
      <c r="K4" s="3" t="s">
        <v>36</v>
      </c>
    </row>
    <row r="5" spans="1:11" ht="28" x14ac:dyDescent="0.35">
      <c r="A5" s="11" t="s">
        <v>6</v>
      </c>
      <c r="B5" s="12" t="s">
        <v>277</v>
      </c>
      <c r="C5" s="11" t="s">
        <v>278</v>
      </c>
      <c r="D5" s="13">
        <v>4</v>
      </c>
      <c r="E5" s="11" t="s">
        <v>39</v>
      </c>
      <c r="F5" s="14">
        <v>133200</v>
      </c>
      <c r="G5" s="15">
        <f>D5*F5</f>
        <v>532800</v>
      </c>
      <c r="H5" s="11" t="s">
        <v>216</v>
      </c>
      <c r="I5" s="12" t="s">
        <v>279</v>
      </c>
      <c r="J5" s="16" t="s">
        <v>280</v>
      </c>
      <c r="K5" s="11" t="s">
        <v>43</v>
      </c>
    </row>
    <row r="6" spans="1:11" x14ac:dyDescent="0.35">
      <c r="A6" s="11" t="s">
        <v>6</v>
      </c>
      <c r="B6" s="12" t="s">
        <v>281</v>
      </c>
      <c r="C6" s="11" t="s">
        <v>45</v>
      </c>
      <c r="D6" s="13">
        <v>4</v>
      </c>
      <c r="E6" s="11" t="s">
        <v>39</v>
      </c>
      <c r="F6" s="14">
        <v>4000</v>
      </c>
      <c r="G6" s="15">
        <f>D6*F6</f>
        <v>16000</v>
      </c>
      <c r="H6" s="11" t="s">
        <v>46</v>
      </c>
      <c r="I6" s="12" t="s">
        <v>248</v>
      </c>
      <c r="J6" s="11"/>
      <c r="K6" s="11" t="s">
        <v>43</v>
      </c>
    </row>
    <row r="7" spans="1:11" x14ac:dyDescent="0.35">
      <c r="A7" s="17" t="s">
        <v>48</v>
      </c>
      <c r="B7" s="18"/>
      <c r="C7" s="18"/>
      <c r="D7" s="18"/>
      <c r="E7" s="18"/>
      <c r="F7" s="18"/>
      <c r="G7" s="19">
        <f>SUM(G5:G6)</f>
        <v>548800</v>
      </c>
      <c r="H7" s="18"/>
      <c r="I7" s="18"/>
      <c r="J7" s="18"/>
      <c r="K7" s="18"/>
    </row>
    <row r="9" spans="1:11" ht="28" x14ac:dyDescent="0.35">
      <c r="A9" s="11" t="s">
        <v>7</v>
      </c>
      <c r="B9" s="12" t="s">
        <v>282</v>
      </c>
      <c r="C9" s="11" t="s">
        <v>283</v>
      </c>
      <c r="D9" s="13">
        <v>1</v>
      </c>
      <c r="E9" s="11" t="s">
        <v>51</v>
      </c>
      <c r="F9" s="14">
        <v>220000</v>
      </c>
      <c r="G9" s="15">
        <f>D9*F9</f>
        <v>220000</v>
      </c>
      <c r="H9" s="11" t="s">
        <v>46</v>
      </c>
      <c r="I9" s="12" t="s">
        <v>284</v>
      </c>
      <c r="J9" s="16" t="s">
        <v>53</v>
      </c>
      <c r="K9" s="11" t="s">
        <v>43</v>
      </c>
    </row>
    <row r="10" spans="1:11" ht="28" x14ac:dyDescent="0.35">
      <c r="A10" s="11" t="s">
        <v>7</v>
      </c>
      <c r="B10" s="12" t="s">
        <v>285</v>
      </c>
      <c r="C10" s="11" t="s">
        <v>286</v>
      </c>
      <c r="D10" s="13">
        <v>1</v>
      </c>
      <c r="E10" s="11" t="s">
        <v>39</v>
      </c>
      <c r="F10" s="14">
        <v>76700</v>
      </c>
      <c r="G10" s="15">
        <f>D10*F10</f>
        <v>76700</v>
      </c>
      <c r="H10" s="11" t="s">
        <v>216</v>
      </c>
      <c r="I10" s="12" t="s">
        <v>287</v>
      </c>
      <c r="J10" s="16" t="s">
        <v>288</v>
      </c>
      <c r="K10" s="11" t="s">
        <v>43</v>
      </c>
    </row>
    <row r="11" spans="1:11" x14ac:dyDescent="0.35">
      <c r="A11" s="17" t="s">
        <v>58</v>
      </c>
      <c r="B11" s="18"/>
      <c r="C11" s="18"/>
      <c r="D11" s="18"/>
      <c r="E11" s="18"/>
      <c r="F11" s="18"/>
      <c r="G11" s="19">
        <f>SUM(G9:G10)</f>
        <v>296700</v>
      </c>
      <c r="H11" s="18"/>
      <c r="I11" s="18"/>
      <c r="J11" s="18"/>
      <c r="K11" s="18"/>
    </row>
    <row r="13" spans="1:11" ht="28" x14ac:dyDescent="0.35">
      <c r="A13" s="11" t="s">
        <v>8</v>
      </c>
      <c r="B13" s="12" t="s">
        <v>289</v>
      </c>
      <c r="C13" s="11" t="s">
        <v>60</v>
      </c>
      <c r="D13" s="13">
        <v>1</v>
      </c>
      <c r="E13" s="11" t="s">
        <v>51</v>
      </c>
      <c r="F13" s="14">
        <v>160000</v>
      </c>
      <c r="G13" s="15">
        <f>D13*F13</f>
        <v>160000</v>
      </c>
      <c r="H13" s="11" t="s">
        <v>46</v>
      </c>
      <c r="I13" s="12" t="s">
        <v>290</v>
      </c>
      <c r="J13" s="16" t="s">
        <v>62</v>
      </c>
      <c r="K13" s="11" t="s">
        <v>43</v>
      </c>
    </row>
    <row r="14" spans="1:11" ht="28" x14ac:dyDescent="0.35">
      <c r="A14" s="11" t="s">
        <v>8</v>
      </c>
      <c r="B14" s="12" t="s">
        <v>291</v>
      </c>
      <c r="C14" s="11" t="s">
        <v>292</v>
      </c>
      <c r="D14" s="13">
        <v>1</v>
      </c>
      <c r="E14" s="11" t="s">
        <v>39</v>
      </c>
      <c r="F14" s="14">
        <v>81200</v>
      </c>
      <c r="G14" s="15">
        <f>D14*F14</f>
        <v>81200</v>
      </c>
      <c r="H14" s="11" t="s">
        <v>216</v>
      </c>
      <c r="I14" s="12" t="s">
        <v>293</v>
      </c>
      <c r="J14" s="16" t="s">
        <v>294</v>
      </c>
      <c r="K14" s="11" t="s">
        <v>43</v>
      </c>
    </row>
    <row r="15" spans="1:11" x14ac:dyDescent="0.35">
      <c r="A15" s="17" t="s">
        <v>71</v>
      </c>
      <c r="B15" s="18"/>
      <c r="C15" s="18"/>
      <c r="D15" s="18"/>
      <c r="E15" s="18"/>
      <c r="F15" s="18"/>
      <c r="G15" s="19">
        <f>SUM(G13:G14)</f>
        <v>241200</v>
      </c>
      <c r="H15" s="18"/>
      <c r="I15" s="18"/>
      <c r="J15" s="18"/>
      <c r="K15" s="18"/>
    </row>
    <row r="17" spans="1:11" ht="28" x14ac:dyDescent="0.35">
      <c r="A17" s="11" t="s">
        <v>9</v>
      </c>
      <c r="B17" s="12" t="s">
        <v>295</v>
      </c>
      <c r="C17" s="11" t="s">
        <v>296</v>
      </c>
      <c r="D17" s="13">
        <v>1</v>
      </c>
      <c r="E17" s="11" t="s">
        <v>39</v>
      </c>
      <c r="F17" s="14">
        <v>105300</v>
      </c>
      <c r="G17" s="15">
        <f>D17*F17</f>
        <v>105300</v>
      </c>
      <c r="H17" s="11" t="s">
        <v>216</v>
      </c>
      <c r="I17" s="12" t="s">
        <v>297</v>
      </c>
      <c r="J17" s="16" t="s">
        <v>298</v>
      </c>
      <c r="K17" s="11" t="s">
        <v>43</v>
      </c>
    </row>
    <row r="18" spans="1:11" x14ac:dyDescent="0.35">
      <c r="A18" s="11" t="s">
        <v>9</v>
      </c>
      <c r="B18" s="12" t="s">
        <v>210</v>
      </c>
      <c r="C18" s="11" t="s">
        <v>211</v>
      </c>
      <c r="D18" s="13">
        <v>1</v>
      </c>
      <c r="E18" s="11" t="s">
        <v>51</v>
      </c>
      <c r="F18" s="14">
        <v>20000</v>
      </c>
      <c r="G18" s="15">
        <f>D18*F18</f>
        <v>20000</v>
      </c>
      <c r="H18" s="11" t="s">
        <v>46</v>
      </c>
      <c r="I18" s="12" t="s">
        <v>106</v>
      </c>
      <c r="J18" s="11"/>
      <c r="K18" s="11" t="s">
        <v>43</v>
      </c>
    </row>
    <row r="19" spans="1:11" x14ac:dyDescent="0.35">
      <c r="A19" s="17" t="s">
        <v>213</v>
      </c>
      <c r="B19" s="18"/>
      <c r="C19" s="18"/>
      <c r="D19" s="18"/>
      <c r="E19" s="18"/>
      <c r="F19" s="18"/>
      <c r="G19" s="19">
        <f>SUM(G17:G18)</f>
        <v>125300</v>
      </c>
      <c r="H19" s="18"/>
      <c r="I19" s="18"/>
      <c r="J19" s="18"/>
      <c r="K19" s="18"/>
    </row>
    <row r="21" spans="1:11" x14ac:dyDescent="0.35">
      <c r="A21" s="11" t="s">
        <v>10</v>
      </c>
      <c r="B21" s="12" t="s">
        <v>214</v>
      </c>
      <c r="C21" s="11" t="s">
        <v>215</v>
      </c>
      <c r="D21" s="13">
        <v>2</v>
      </c>
      <c r="E21" s="11" t="s">
        <v>39</v>
      </c>
      <c r="F21" s="14">
        <v>13600</v>
      </c>
      <c r="G21" s="15">
        <f t="shared" ref="G21:G27" si="0">D21*F21</f>
        <v>27200</v>
      </c>
      <c r="H21" s="11" t="s">
        <v>216</v>
      </c>
      <c r="I21" s="12" t="s">
        <v>299</v>
      </c>
      <c r="J21" s="16" t="s">
        <v>218</v>
      </c>
      <c r="K21" s="11" t="s">
        <v>43</v>
      </c>
    </row>
    <row r="22" spans="1:11" ht="28" x14ac:dyDescent="0.35">
      <c r="A22" s="11" t="s">
        <v>10</v>
      </c>
      <c r="B22" s="12" t="s">
        <v>219</v>
      </c>
      <c r="C22" s="11" t="s">
        <v>76</v>
      </c>
      <c r="D22" s="13">
        <v>3</v>
      </c>
      <c r="E22" s="11" t="s">
        <v>39</v>
      </c>
      <c r="F22" s="14">
        <v>4750</v>
      </c>
      <c r="G22" s="15">
        <f t="shared" si="0"/>
        <v>14250</v>
      </c>
      <c r="H22" s="11" t="s">
        <v>68</v>
      </c>
      <c r="I22" s="12" t="s">
        <v>69</v>
      </c>
      <c r="J22" s="16" t="s">
        <v>77</v>
      </c>
      <c r="K22" s="11" t="s">
        <v>43</v>
      </c>
    </row>
    <row r="23" spans="1:11" x14ac:dyDescent="0.35">
      <c r="A23" s="11" t="s">
        <v>10</v>
      </c>
      <c r="B23" s="12" t="s">
        <v>300</v>
      </c>
      <c r="C23" s="11" t="s">
        <v>79</v>
      </c>
      <c r="D23" s="13">
        <v>1</v>
      </c>
      <c r="E23" s="11" t="s">
        <v>39</v>
      </c>
      <c r="F23" s="14">
        <v>5046.22</v>
      </c>
      <c r="G23" s="15">
        <f t="shared" si="0"/>
        <v>5046.22</v>
      </c>
      <c r="H23" s="11" t="s">
        <v>40</v>
      </c>
      <c r="I23" s="12" t="s">
        <v>41</v>
      </c>
      <c r="J23" s="16" t="s">
        <v>301</v>
      </c>
      <c r="K23" s="11" t="s">
        <v>43</v>
      </c>
    </row>
    <row r="24" spans="1:11" x14ac:dyDescent="0.35">
      <c r="A24" s="11" t="s">
        <v>10</v>
      </c>
      <c r="B24" s="12" t="s">
        <v>222</v>
      </c>
      <c r="C24" s="11" t="s">
        <v>223</v>
      </c>
      <c r="D24" s="13">
        <v>2</v>
      </c>
      <c r="E24" s="11" t="s">
        <v>39</v>
      </c>
      <c r="F24" s="14">
        <v>1826.2</v>
      </c>
      <c r="G24" s="15">
        <f t="shared" si="0"/>
        <v>3652.4</v>
      </c>
      <c r="H24" s="11" t="s">
        <v>40</v>
      </c>
      <c r="I24" s="12" t="s">
        <v>224</v>
      </c>
      <c r="J24" s="16" t="s">
        <v>225</v>
      </c>
      <c r="K24" s="11" t="s">
        <v>43</v>
      </c>
    </row>
    <row r="25" spans="1:11" x14ac:dyDescent="0.35">
      <c r="A25" s="11" t="s">
        <v>10</v>
      </c>
      <c r="B25" s="12" t="s">
        <v>81</v>
      </c>
      <c r="C25" s="11" t="s">
        <v>79</v>
      </c>
      <c r="D25" s="13">
        <v>2</v>
      </c>
      <c r="E25" s="11" t="s">
        <v>39</v>
      </c>
      <c r="F25" s="14">
        <v>3003.49</v>
      </c>
      <c r="G25" s="15">
        <f t="shared" si="0"/>
        <v>6006.98</v>
      </c>
      <c r="H25" s="11" t="s">
        <v>40</v>
      </c>
      <c r="I25" s="12" t="s">
        <v>41</v>
      </c>
      <c r="J25" s="16" t="s">
        <v>82</v>
      </c>
      <c r="K25" s="11" t="s">
        <v>43</v>
      </c>
    </row>
    <row r="26" spans="1:11" x14ac:dyDescent="0.35">
      <c r="A26" s="11" t="s">
        <v>10</v>
      </c>
      <c r="B26" s="12" t="s">
        <v>302</v>
      </c>
      <c r="C26" s="11" t="s">
        <v>227</v>
      </c>
      <c r="D26" s="13">
        <v>1</v>
      </c>
      <c r="E26" s="11" t="s">
        <v>39</v>
      </c>
      <c r="F26" s="14">
        <v>35834.449999999997</v>
      </c>
      <c r="G26" s="15">
        <f t="shared" si="0"/>
        <v>35834.449999999997</v>
      </c>
      <c r="H26" s="11" t="s">
        <v>40</v>
      </c>
      <c r="I26" s="12" t="s">
        <v>224</v>
      </c>
      <c r="J26" s="16" t="s">
        <v>303</v>
      </c>
      <c r="K26" s="11" t="s">
        <v>43</v>
      </c>
    </row>
    <row r="27" spans="1:11" x14ac:dyDescent="0.35">
      <c r="A27" s="11" t="s">
        <v>10</v>
      </c>
      <c r="B27" s="12" t="s">
        <v>304</v>
      </c>
      <c r="C27" s="11" t="s">
        <v>105</v>
      </c>
      <c r="D27" s="13">
        <v>1</v>
      </c>
      <c r="E27" s="11" t="s">
        <v>39</v>
      </c>
      <c r="F27" s="14">
        <v>15000</v>
      </c>
      <c r="G27" s="15">
        <f t="shared" si="0"/>
        <v>15000</v>
      </c>
      <c r="H27" s="11" t="s">
        <v>46</v>
      </c>
      <c r="I27" s="12" t="s">
        <v>284</v>
      </c>
      <c r="J27" s="11"/>
      <c r="K27" s="11" t="s">
        <v>43</v>
      </c>
    </row>
    <row r="28" spans="1:11" x14ac:dyDescent="0.35">
      <c r="A28" s="17" t="s">
        <v>87</v>
      </c>
      <c r="B28" s="18"/>
      <c r="C28" s="18"/>
      <c r="D28" s="18"/>
      <c r="E28" s="18"/>
      <c r="F28" s="18"/>
      <c r="G28" s="19">
        <f>SUM(G21:G27)</f>
        <v>106990.05</v>
      </c>
      <c r="H28" s="18"/>
      <c r="I28" s="18"/>
      <c r="J28" s="18"/>
      <c r="K28" s="18"/>
    </row>
    <row r="30" spans="1:11" x14ac:dyDescent="0.35">
      <c r="A30" s="11" t="s">
        <v>11</v>
      </c>
      <c r="B30" s="12" t="s">
        <v>305</v>
      </c>
      <c r="C30" s="11" t="s">
        <v>306</v>
      </c>
      <c r="D30" s="13">
        <v>40</v>
      </c>
      <c r="E30" s="11" t="s">
        <v>90</v>
      </c>
      <c r="F30" s="14">
        <v>2500</v>
      </c>
      <c r="G30" s="15">
        <f>D30*F30</f>
        <v>100000</v>
      </c>
      <c r="H30" s="11" t="s">
        <v>46</v>
      </c>
      <c r="I30" s="12" t="s">
        <v>307</v>
      </c>
      <c r="J30" s="11"/>
      <c r="K30" s="11" t="s">
        <v>43</v>
      </c>
    </row>
    <row r="31" spans="1:11" x14ac:dyDescent="0.35">
      <c r="A31" s="11" t="s">
        <v>11</v>
      </c>
      <c r="B31" s="12" t="s">
        <v>233</v>
      </c>
      <c r="C31" s="11" t="s">
        <v>234</v>
      </c>
      <c r="D31" s="13">
        <v>1</v>
      </c>
      <c r="E31" s="11" t="s">
        <v>39</v>
      </c>
      <c r="F31" s="14">
        <v>2732.41</v>
      </c>
      <c r="G31" s="15">
        <f>D31*F31</f>
        <v>2732.41</v>
      </c>
      <c r="H31" s="11" t="s">
        <v>68</v>
      </c>
      <c r="I31" s="12" t="s">
        <v>69</v>
      </c>
      <c r="J31" s="16" t="s">
        <v>235</v>
      </c>
      <c r="K31" s="11" t="s">
        <v>43</v>
      </c>
    </row>
    <row r="32" spans="1:11" x14ac:dyDescent="0.35">
      <c r="A32" s="11" t="s">
        <v>11</v>
      </c>
      <c r="B32" s="12" t="s">
        <v>308</v>
      </c>
      <c r="C32" s="11" t="s">
        <v>309</v>
      </c>
      <c r="D32" s="13">
        <v>10</v>
      </c>
      <c r="E32" s="11" t="s">
        <v>39</v>
      </c>
      <c r="F32" s="14">
        <v>3370</v>
      </c>
      <c r="G32" s="15">
        <f>D32*F32</f>
        <v>33700</v>
      </c>
      <c r="H32" s="11" t="s">
        <v>68</v>
      </c>
      <c r="I32" s="12" t="s">
        <v>69</v>
      </c>
      <c r="J32" s="16" t="s">
        <v>237</v>
      </c>
      <c r="K32" s="11" t="s">
        <v>43</v>
      </c>
    </row>
    <row r="33" spans="1:11" x14ac:dyDescent="0.35">
      <c r="A33" s="11" t="s">
        <v>11</v>
      </c>
      <c r="B33" s="12" t="s">
        <v>310</v>
      </c>
      <c r="C33" s="11" t="s">
        <v>311</v>
      </c>
      <c r="D33" s="13">
        <v>3</v>
      </c>
      <c r="E33" s="11" t="s">
        <v>39</v>
      </c>
      <c r="F33" s="14">
        <v>16536</v>
      </c>
      <c r="G33" s="15">
        <f>D33*F33</f>
        <v>49608</v>
      </c>
      <c r="H33" s="11" t="s">
        <v>68</v>
      </c>
      <c r="I33" s="12" t="s">
        <v>69</v>
      </c>
      <c r="J33" s="16" t="s">
        <v>103</v>
      </c>
      <c r="K33" s="11" t="s">
        <v>43</v>
      </c>
    </row>
    <row r="34" spans="1:11" ht="28" x14ac:dyDescent="0.35">
      <c r="A34" s="11" t="s">
        <v>11</v>
      </c>
      <c r="B34" s="12" t="s">
        <v>312</v>
      </c>
      <c r="C34" s="11" t="s">
        <v>105</v>
      </c>
      <c r="D34" s="13">
        <v>1</v>
      </c>
      <c r="E34" s="11" t="s">
        <v>51</v>
      </c>
      <c r="F34" s="14">
        <v>15000</v>
      </c>
      <c r="G34" s="15">
        <f>D34*F34</f>
        <v>15000</v>
      </c>
      <c r="H34" s="11" t="s">
        <v>46</v>
      </c>
      <c r="I34" s="12" t="s">
        <v>106</v>
      </c>
      <c r="J34" s="11"/>
      <c r="K34" s="11" t="s">
        <v>43</v>
      </c>
    </row>
    <row r="35" spans="1:11" x14ac:dyDescent="0.35">
      <c r="A35" s="17" t="s">
        <v>107</v>
      </c>
      <c r="B35" s="18"/>
      <c r="C35" s="18"/>
      <c r="D35" s="18"/>
      <c r="E35" s="18"/>
      <c r="F35" s="18"/>
      <c r="G35" s="19">
        <f>SUM(G30:G34)</f>
        <v>201040.41</v>
      </c>
      <c r="H35" s="18"/>
      <c r="I35" s="18"/>
      <c r="J35" s="18"/>
      <c r="K35" s="18"/>
    </row>
    <row r="37" spans="1:11" x14ac:dyDescent="0.35">
      <c r="A37" s="11" t="s">
        <v>12</v>
      </c>
      <c r="B37" s="12" t="s">
        <v>313</v>
      </c>
      <c r="C37" s="11" t="s">
        <v>314</v>
      </c>
      <c r="D37" s="13">
        <v>3</v>
      </c>
      <c r="E37" s="11" t="s">
        <v>39</v>
      </c>
      <c r="F37" s="14">
        <v>42499</v>
      </c>
      <c r="G37" s="15">
        <f>D37*F37</f>
        <v>127497</v>
      </c>
      <c r="H37" s="11" t="s">
        <v>68</v>
      </c>
      <c r="I37" s="12" t="s">
        <v>315</v>
      </c>
      <c r="J37" s="16" t="s">
        <v>244</v>
      </c>
      <c r="K37" s="11" t="s">
        <v>43</v>
      </c>
    </row>
    <row r="38" spans="1:11" x14ac:dyDescent="0.35">
      <c r="A38" s="11" t="s">
        <v>12</v>
      </c>
      <c r="B38" s="12" t="s">
        <v>316</v>
      </c>
      <c r="C38" s="11" t="s">
        <v>242</v>
      </c>
      <c r="D38" s="13">
        <v>1</v>
      </c>
      <c r="E38" s="11" t="s">
        <v>51</v>
      </c>
      <c r="F38" s="14">
        <v>15000</v>
      </c>
      <c r="G38" s="15">
        <f>D38*F38</f>
        <v>15000</v>
      </c>
      <c r="H38" s="11" t="s">
        <v>46</v>
      </c>
      <c r="I38" s="12" t="s">
        <v>106</v>
      </c>
      <c r="J38" s="11"/>
      <c r="K38" s="11" t="s">
        <v>43</v>
      </c>
    </row>
    <row r="39" spans="1:11" ht="28" x14ac:dyDescent="0.35">
      <c r="A39" s="11" t="s">
        <v>12</v>
      </c>
      <c r="B39" s="12" t="s">
        <v>317</v>
      </c>
      <c r="C39" s="11" t="s">
        <v>242</v>
      </c>
      <c r="D39" s="13">
        <v>110</v>
      </c>
      <c r="E39" s="11" t="s">
        <v>110</v>
      </c>
      <c r="F39" s="14">
        <v>1400</v>
      </c>
      <c r="G39" s="15">
        <f>D39*F39</f>
        <v>154000</v>
      </c>
      <c r="H39" s="11" t="s">
        <v>46</v>
      </c>
      <c r="I39" s="12" t="s">
        <v>318</v>
      </c>
      <c r="J39" s="16" t="s">
        <v>117</v>
      </c>
      <c r="K39" s="11" t="s">
        <v>43</v>
      </c>
    </row>
    <row r="40" spans="1:11" x14ac:dyDescent="0.35">
      <c r="A40" s="17" t="s">
        <v>118</v>
      </c>
      <c r="B40" s="18"/>
      <c r="C40" s="18"/>
      <c r="D40" s="18"/>
      <c r="E40" s="18"/>
      <c r="F40" s="18"/>
      <c r="G40" s="19">
        <f>SUM(G37:G39)</f>
        <v>296497</v>
      </c>
      <c r="H40" s="18"/>
      <c r="I40" s="18"/>
      <c r="J40" s="18"/>
      <c r="K40" s="18"/>
    </row>
    <row r="42" spans="1:11" x14ac:dyDescent="0.35">
      <c r="A42" s="11" t="s">
        <v>13</v>
      </c>
      <c r="B42" s="12" t="s">
        <v>119</v>
      </c>
      <c r="C42" s="11" t="s">
        <v>60</v>
      </c>
      <c r="D42" s="13">
        <v>130</v>
      </c>
      <c r="E42" s="11" t="s">
        <v>110</v>
      </c>
      <c r="F42" s="14">
        <v>60</v>
      </c>
      <c r="G42" s="15">
        <f t="shared" ref="G42:G50" si="1">D42*F42</f>
        <v>7800</v>
      </c>
      <c r="H42" s="11" t="s">
        <v>46</v>
      </c>
      <c r="I42" s="12" t="s">
        <v>248</v>
      </c>
      <c r="J42" s="11"/>
      <c r="K42" s="11" t="s">
        <v>43</v>
      </c>
    </row>
    <row r="43" spans="1:11" x14ac:dyDescent="0.35">
      <c r="A43" s="11" t="s">
        <v>13</v>
      </c>
      <c r="B43" s="12" t="s">
        <v>121</v>
      </c>
      <c r="C43" s="11" t="s">
        <v>60</v>
      </c>
      <c r="D43" s="13">
        <v>130</v>
      </c>
      <c r="E43" s="11" t="s">
        <v>110</v>
      </c>
      <c r="F43" s="14">
        <v>90</v>
      </c>
      <c r="G43" s="15">
        <f t="shared" si="1"/>
        <v>11700</v>
      </c>
      <c r="H43" s="11" t="s">
        <v>46</v>
      </c>
      <c r="I43" s="12" t="s">
        <v>248</v>
      </c>
      <c r="J43" s="11"/>
      <c r="K43" s="11" t="s">
        <v>43</v>
      </c>
    </row>
    <row r="44" spans="1:11" x14ac:dyDescent="0.35">
      <c r="A44" s="11" t="s">
        <v>13</v>
      </c>
      <c r="B44" s="12" t="s">
        <v>123</v>
      </c>
      <c r="C44" s="11" t="s">
        <v>124</v>
      </c>
      <c r="D44" s="13">
        <v>130</v>
      </c>
      <c r="E44" s="11" t="s">
        <v>110</v>
      </c>
      <c r="F44" s="14">
        <v>137.79</v>
      </c>
      <c r="G44" s="15">
        <f t="shared" si="1"/>
        <v>17912.7</v>
      </c>
      <c r="H44" s="11" t="s">
        <v>111</v>
      </c>
      <c r="I44" s="12" t="s">
        <v>125</v>
      </c>
      <c r="J44" s="16" t="s">
        <v>126</v>
      </c>
      <c r="K44" s="11" t="s">
        <v>43</v>
      </c>
    </row>
    <row r="45" spans="1:11" x14ac:dyDescent="0.35">
      <c r="A45" s="11" t="s">
        <v>13</v>
      </c>
      <c r="B45" s="12" t="s">
        <v>127</v>
      </c>
      <c r="C45" s="11" t="s">
        <v>128</v>
      </c>
      <c r="D45" s="13">
        <v>130</v>
      </c>
      <c r="E45" s="11" t="s">
        <v>110</v>
      </c>
      <c r="F45" s="14">
        <v>65.7</v>
      </c>
      <c r="G45" s="15">
        <f t="shared" si="1"/>
        <v>8541</v>
      </c>
      <c r="H45" s="11" t="s">
        <v>111</v>
      </c>
      <c r="I45" s="12" t="s">
        <v>125</v>
      </c>
      <c r="J45" s="16" t="s">
        <v>129</v>
      </c>
      <c r="K45" s="11" t="s">
        <v>43</v>
      </c>
    </row>
    <row r="46" spans="1:11" ht="28" x14ac:dyDescent="0.35">
      <c r="A46" s="11" t="s">
        <v>13</v>
      </c>
      <c r="B46" s="12" t="s">
        <v>249</v>
      </c>
      <c r="C46" s="11" t="s">
        <v>250</v>
      </c>
      <c r="D46" s="13">
        <v>143</v>
      </c>
      <c r="E46" s="11" t="s">
        <v>110</v>
      </c>
      <c r="F46" s="14">
        <v>174.9</v>
      </c>
      <c r="G46" s="15">
        <f t="shared" si="1"/>
        <v>25010.7</v>
      </c>
      <c r="H46" s="11" t="s">
        <v>40</v>
      </c>
      <c r="I46" s="12" t="s">
        <v>251</v>
      </c>
      <c r="J46" s="16" t="s">
        <v>252</v>
      </c>
      <c r="K46" s="11" t="s">
        <v>43</v>
      </c>
    </row>
    <row r="47" spans="1:11" x14ac:dyDescent="0.35">
      <c r="A47" s="11" t="s">
        <v>13</v>
      </c>
      <c r="B47" s="12" t="s">
        <v>253</v>
      </c>
      <c r="C47" s="11" t="s">
        <v>60</v>
      </c>
      <c r="D47" s="13">
        <v>130</v>
      </c>
      <c r="E47" s="11" t="s">
        <v>110</v>
      </c>
      <c r="F47" s="14">
        <v>60</v>
      </c>
      <c r="G47" s="15">
        <f t="shared" si="1"/>
        <v>7800</v>
      </c>
      <c r="H47" s="11" t="s">
        <v>46</v>
      </c>
      <c r="I47" s="12" t="s">
        <v>248</v>
      </c>
      <c r="J47" s="11"/>
      <c r="K47" s="11" t="s">
        <v>43</v>
      </c>
    </row>
    <row r="48" spans="1:11" x14ac:dyDescent="0.35">
      <c r="A48" s="11" t="s">
        <v>13</v>
      </c>
      <c r="B48" s="12" t="s">
        <v>254</v>
      </c>
      <c r="C48" s="11" t="s">
        <v>255</v>
      </c>
      <c r="D48" s="13">
        <v>18</v>
      </c>
      <c r="E48" s="11" t="s">
        <v>39</v>
      </c>
      <c r="F48" s="14">
        <v>740.74</v>
      </c>
      <c r="G48" s="15">
        <f t="shared" si="1"/>
        <v>13333.32</v>
      </c>
      <c r="H48" s="11" t="s">
        <v>68</v>
      </c>
      <c r="I48" s="12" t="s">
        <v>69</v>
      </c>
      <c r="J48" s="16" t="s">
        <v>256</v>
      </c>
      <c r="K48" s="11" t="s">
        <v>43</v>
      </c>
    </row>
    <row r="49" spans="1:11" x14ac:dyDescent="0.35">
      <c r="A49" s="11" t="s">
        <v>13</v>
      </c>
      <c r="B49" s="12" t="s">
        <v>257</v>
      </c>
      <c r="C49" s="11" t="s">
        <v>258</v>
      </c>
      <c r="D49" s="13">
        <v>45</v>
      </c>
      <c r="E49" s="11" t="s">
        <v>110</v>
      </c>
      <c r="F49" s="14">
        <v>461.34</v>
      </c>
      <c r="G49" s="15">
        <f t="shared" si="1"/>
        <v>20760.3</v>
      </c>
      <c r="H49" s="11" t="s">
        <v>40</v>
      </c>
      <c r="I49" s="12" t="s">
        <v>259</v>
      </c>
      <c r="J49" s="16" t="s">
        <v>260</v>
      </c>
      <c r="K49" s="11" t="s">
        <v>43</v>
      </c>
    </row>
    <row r="50" spans="1:11" x14ac:dyDescent="0.35">
      <c r="A50" s="11" t="s">
        <v>13</v>
      </c>
      <c r="B50" s="12" t="s">
        <v>261</v>
      </c>
      <c r="C50" s="11" t="s">
        <v>45</v>
      </c>
      <c r="D50" s="13">
        <v>45</v>
      </c>
      <c r="E50" s="11" t="s">
        <v>110</v>
      </c>
      <c r="F50" s="14">
        <v>80</v>
      </c>
      <c r="G50" s="15">
        <f t="shared" si="1"/>
        <v>3600</v>
      </c>
      <c r="H50" s="11" t="s">
        <v>46</v>
      </c>
      <c r="I50" s="12" t="s">
        <v>248</v>
      </c>
      <c r="J50" s="11"/>
      <c r="K50" s="11" t="s">
        <v>43</v>
      </c>
    </row>
    <row r="51" spans="1:11" x14ac:dyDescent="0.35">
      <c r="A51" s="17" t="s">
        <v>137</v>
      </c>
      <c r="B51" s="18"/>
      <c r="C51" s="18"/>
      <c r="D51" s="18"/>
      <c r="E51" s="18"/>
      <c r="F51" s="18"/>
      <c r="G51" s="19">
        <f>SUM(G42:G50)</f>
        <v>116458.02</v>
      </c>
      <c r="H51" s="18"/>
      <c r="I51" s="18"/>
      <c r="J51" s="18"/>
      <c r="K51" s="18"/>
    </row>
    <row r="53" spans="1:11" ht="28" x14ac:dyDescent="0.35">
      <c r="A53" s="11" t="s">
        <v>14</v>
      </c>
      <c r="B53" s="12" t="s">
        <v>319</v>
      </c>
      <c r="C53" s="11" t="s">
        <v>139</v>
      </c>
      <c r="D53" s="13">
        <v>1</v>
      </c>
      <c r="E53" s="11" t="s">
        <v>51</v>
      </c>
      <c r="F53" s="14">
        <v>105000</v>
      </c>
      <c r="G53" s="15">
        <f>D53*F53</f>
        <v>105000</v>
      </c>
      <c r="H53" s="11" t="s">
        <v>46</v>
      </c>
      <c r="I53" s="12" t="s">
        <v>262</v>
      </c>
      <c r="J53" s="16" t="s">
        <v>141</v>
      </c>
      <c r="K53" s="11" t="s">
        <v>43</v>
      </c>
    </row>
    <row r="54" spans="1:11" ht="28" x14ac:dyDescent="0.35">
      <c r="A54" s="11" t="s">
        <v>14</v>
      </c>
      <c r="B54" s="12" t="s">
        <v>142</v>
      </c>
      <c r="C54" s="11" t="s">
        <v>143</v>
      </c>
      <c r="D54" s="13">
        <v>1</v>
      </c>
      <c r="E54" s="11" t="s">
        <v>51</v>
      </c>
      <c r="F54" s="14">
        <v>75000</v>
      </c>
      <c r="G54" s="15">
        <f>D54*F54</f>
        <v>75000</v>
      </c>
      <c r="H54" s="11" t="s">
        <v>46</v>
      </c>
      <c r="I54" s="12" t="s">
        <v>262</v>
      </c>
      <c r="J54" s="16" t="s">
        <v>145</v>
      </c>
      <c r="K54" s="11" t="s">
        <v>43</v>
      </c>
    </row>
    <row r="55" spans="1:11" x14ac:dyDescent="0.35">
      <c r="A55" s="11" t="s">
        <v>14</v>
      </c>
      <c r="B55" s="12" t="s">
        <v>146</v>
      </c>
      <c r="C55" s="11" t="s">
        <v>147</v>
      </c>
      <c r="D55" s="13">
        <v>1</v>
      </c>
      <c r="E55" s="11" t="s">
        <v>51</v>
      </c>
      <c r="F55" s="14">
        <v>18000</v>
      </c>
      <c r="G55" s="15">
        <f>D55*F55</f>
        <v>18000</v>
      </c>
      <c r="H55" s="11" t="s">
        <v>46</v>
      </c>
      <c r="I55" s="12" t="s">
        <v>106</v>
      </c>
      <c r="J55" s="11"/>
      <c r="K55" s="11" t="s">
        <v>43</v>
      </c>
    </row>
    <row r="56" spans="1:11" x14ac:dyDescent="0.35">
      <c r="A56" s="11" t="s">
        <v>14</v>
      </c>
      <c r="B56" s="12" t="s">
        <v>149</v>
      </c>
      <c r="C56" s="11" t="s">
        <v>60</v>
      </c>
      <c r="D56" s="13">
        <v>1</v>
      </c>
      <c r="E56" s="11" t="s">
        <v>51</v>
      </c>
      <c r="F56" s="14">
        <v>30000</v>
      </c>
      <c r="G56" s="15">
        <f>D56*F56</f>
        <v>30000</v>
      </c>
      <c r="H56" s="11" t="s">
        <v>46</v>
      </c>
      <c r="I56" s="12" t="s">
        <v>106</v>
      </c>
      <c r="J56" s="11"/>
      <c r="K56" s="11" t="s">
        <v>43</v>
      </c>
    </row>
    <row r="57" spans="1:11" x14ac:dyDescent="0.35">
      <c r="A57" s="11" t="s">
        <v>14</v>
      </c>
      <c r="B57" s="12" t="s">
        <v>151</v>
      </c>
      <c r="C57" s="11" t="s">
        <v>152</v>
      </c>
      <c r="D57" s="13">
        <v>1</v>
      </c>
      <c r="E57" s="11" t="s">
        <v>51</v>
      </c>
      <c r="F57" s="14">
        <v>70000</v>
      </c>
      <c r="G57" s="15">
        <f>D57*F57</f>
        <v>70000</v>
      </c>
      <c r="H57" s="11" t="s">
        <v>46</v>
      </c>
      <c r="I57" s="12" t="s">
        <v>264</v>
      </c>
      <c r="J57" s="11"/>
      <c r="K57" s="11" t="s">
        <v>43</v>
      </c>
    </row>
    <row r="58" spans="1:11" x14ac:dyDescent="0.35">
      <c r="A58" s="17" t="s">
        <v>154</v>
      </c>
      <c r="B58" s="18"/>
      <c r="C58" s="18"/>
      <c r="D58" s="18"/>
      <c r="E58" s="18"/>
      <c r="F58" s="18"/>
      <c r="G58" s="19">
        <f>SUM(G53:G57)</f>
        <v>298000</v>
      </c>
      <c r="H58" s="18"/>
      <c r="I58" s="18"/>
      <c r="J58" s="18"/>
      <c r="K58" s="18"/>
    </row>
    <row r="60" spans="1:11" x14ac:dyDescent="0.35">
      <c r="A60" s="11" t="s">
        <v>15</v>
      </c>
      <c r="B60" s="12" t="s">
        <v>155</v>
      </c>
      <c r="C60" s="11" t="s">
        <v>60</v>
      </c>
      <c r="D60" s="13">
        <v>1</v>
      </c>
      <c r="E60" s="11" t="s">
        <v>51</v>
      </c>
      <c r="F60" s="14">
        <v>100000</v>
      </c>
      <c r="G60" s="15">
        <f>D60*F60</f>
        <v>100000</v>
      </c>
      <c r="H60" s="11" t="s">
        <v>46</v>
      </c>
      <c r="I60" s="12" t="s">
        <v>156</v>
      </c>
      <c r="J60" s="11"/>
      <c r="K60" s="11" t="s">
        <v>43</v>
      </c>
    </row>
    <row r="61" spans="1:11" x14ac:dyDescent="0.35">
      <c r="A61" s="17" t="s">
        <v>157</v>
      </c>
      <c r="B61" s="18"/>
      <c r="C61" s="18"/>
      <c r="D61" s="18"/>
      <c r="E61" s="18"/>
      <c r="F61" s="18"/>
      <c r="G61" s="19">
        <f>SUM(G60:G60)</f>
        <v>100000</v>
      </c>
      <c r="H61" s="18"/>
      <c r="I61" s="18"/>
      <c r="J61" s="18"/>
      <c r="K61" s="18"/>
    </row>
    <row r="63" spans="1:11" ht="28" x14ac:dyDescent="0.35">
      <c r="A63" s="11" t="s">
        <v>16</v>
      </c>
      <c r="B63" s="12" t="s">
        <v>265</v>
      </c>
      <c r="C63" s="11" t="s">
        <v>105</v>
      </c>
      <c r="D63" s="13">
        <v>1</v>
      </c>
      <c r="E63" s="11" t="s">
        <v>51</v>
      </c>
      <c r="F63" s="14">
        <v>12000</v>
      </c>
      <c r="G63" s="15">
        <f>D63*F63</f>
        <v>12000</v>
      </c>
      <c r="H63" s="11" t="s">
        <v>46</v>
      </c>
      <c r="I63" s="12" t="s">
        <v>106</v>
      </c>
      <c r="J63" s="11"/>
      <c r="K63" s="11" t="s">
        <v>43</v>
      </c>
    </row>
    <row r="64" spans="1:11" x14ac:dyDescent="0.35">
      <c r="A64" s="11" t="s">
        <v>16</v>
      </c>
      <c r="B64" s="12" t="s">
        <v>320</v>
      </c>
      <c r="C64" s="11" t="s">
        <v>267</v>
      </c>
      <c r="D64" s="13">
        <v>1</v>
      </c>
      <c r="E64" s="11" t="s">
        <v>51</v>
      </c>
      <c r="F64" s="14">
        <v>45000</v>
      </c>
      <c r="G64" s="15">
        <f>D64*F64</f>
        <v>45000</v>
      </c>
      <c r="H64" s="11" t="s">
        <v>46</v>
      </c>
      <c r="I64" s="12" t="s">
        <v>106</v>
      </c>
      <c r="J64" s="11"/>
      <c r="K64" s="11" t="s">
        <v>43</v>
      </c>
    </row>
    <row r="65" spans="1:11" x14ac:dyDescent="0.35">
      <c r="A65" s="11" t="s">
        <v>16</v>
      </c>
      <c r="B65" s="12" t="s">
        <v>321</v>
      </c>
      <c r="C65" s="11" t="s">
        <v>269</v>
      </c>
      <c r="D65" s="13">
        <v>1</v>
      </c>
      <c r="E65" s="11" t="s">
        <v>51</v>
      </c>
      <c r="F65" s="14">
        <v>15000</v>
      </c>
      <c r="G65" s="15">
        <f>D65*F65</f>
        <v>15000</v>
      </c>
      <c r="H65" s="11" t="s">
        <v>46</v>
      </c>
      <c r="I65" s="12" t="s">
        <v>106</v>
      </c>
      <c r="J65" s="11"/>
      <c r="K65" s="11" t="s">
        <v>43</v>
      </c>
    </row>
    <row r="66" spans="1:11" x14ac:dyDescent="0.35">
      <c r="A66" s="11" t="s">
        <v>16</v>
      </c>
      <c r="B66" s="12" t="s">
        <v>322</v>
      </c>
      <c r="C66" s="11" t="s">
        <v>271</v>
      </c>
      <c r="D66" s="13">
        <v>1</v>
      </c>
      <c r="E66" s="11" t="s">
        <v>51</v>
      </c>
      <c r="F66" s="14">
        <v>25000</v>
      </c>
      <c r="G66" s="15">
        <f>D66*F66</f>
        <v>25000</v>
      </c>
      <c r="H66" s="11" t="s">
        <v>46</v>
      </c>
      <c r="I66" s="12" t="s">
        <v>106</v>
      </c>
      <c r="J66" s="11"/>
      <c r="K66" s="11" t="s">
        <v>43</v>
      </c>
    </row>
    <row r="67" spans="1:11" x14ac:dyDescent="0.35">
      <c r="A67" s="17" t="s">
        <v>159</v>
      </c>
      <c r="B67" s="18"/>
      <c r="C67" s="18"/>
      <c r="D67" s="18"/>
      <c r="E67" s="18"/>
      <c r="F67" s="18"/>
      <c r="G67" s="19">
        <f>SUM(G63:G66)</f>
        <v>97000</v>
      </c>
      <c r="H67" s="18"/>
      <c r="I67" s="18"/>
      <c r="J67" s="18"/>
      <c r="K67" s="18"/>
    </row>
    <row r="69" spans="1:11" x14ac:dyDescent="0.35">
      <c r="A69" s="11" t="s">
        <v>17</v>
      </c>
      <c r="B69" s="12" t="s">
        <v>160</v>
      </c>
      <c r="C69" s="11" t="s">
        <v>161</v>
      </c>
      <c r="D69" s="13">
        <v>1</v>
      </c>
      <c r="E69" s="11" t="s">
        <v>51</v>
      </c>
      <c r="F69" s="14">
        <v>4000</v>
      </c>
      <c r="G69" s="15">
        <f t="shared" ref="G69:G75" si="2">D69*F69</f>
        <v>4000</v>
      </c>
      <c r="H69" s="11" t="s">
        <v>46</v>
      </c>
      <c r="I69" s="12" t="s">
        <v>248</v>
      </c>
      <c r="J69" s="11"/>
      <c r="K69" s="11" t="s">
        <v>43</v>
      </c>
    </row>
    <row r="70" spans="1:11" x14ac:dyDescent="0.35">
      <c r="A70" s="11" t="s">
        <v>17</v>
      </c>
      <c r="B70" s="12" t="s">
        <v>163</v>
      </c>
      <c r="C70" s="11" t="s">
        <v>164</v>
      </c>
      <c r="D70" s="13">
        <v>1</v>
      </c>
      <c r="E70" s="11" t="s">
        <v>51</v>
      </c>
      <c r="F70" s="14">
        <v>25000</v>
      </c>
      <c r="G70" s="15">
        <f t="shared" si="2"/>
        <v>25000</v>
      </c>
      <c r="H70" s="11" t="s">
        <v>46</v>
      </c>
      <c r="I70" s="12" t="s">
        <v>165</v>
      </c>
      <c r="J70" s="16" t="s">
        <v>166</v>
      </c>
      <c r="K70" s="11" t="s">
        <v>43</v>
      </c>
    </row>
    <row r="71" spans="1:11" x14ac:dyDescent="0.35">
      <c r="A71" s="11" t="s">
        <v>17</v>
      </c>
      <c r="B71" s="12" t="s">
        <v>273</v>
      </c>
      <c r="C71" s="11" t="s">
        <v>168</v>
      </c>
      <c r="D71" s="13">
        <v>1</v>
      </c>
      <c r="E71" s="11" t="s">
        <v>51</v>
      </c>
      <c r="F71" s="14">
        <v>150000</v>
      </c>
      <c r="G71" s="15">
        <f t="shared" si="2"/>
        <v>150000</v>
      </c>
      <c r="H71" s="11" t="s">
        <v>46</v>
      </c>
      <c r="I71" s="12" t="s">
        <v>169</v>
      </c>
      <c r="J71" s="16" t="s">
        <v>170</v>
      </c>
      <c r="K71" s="11" t="s">
        <v>43</v>
      </c>
    </row>
    <row r="72" spans="1:11" x14ac:dyDescent="0.35">
      <c r="A72" s="11" t="s">
        <v>17</v>
      </c>
      <c r="B72" s="12" t="s">
        <v>171</v>
      </c>
      <c r="C72" s="11" t="s">
        <v>172</v>
      </c>
      <c r="D72" s="13">
        <v>175</v>
      </c>
      <c r="E72" s="11" t="s">
        <v>110</v>
      </c>
      <c r="F72" s="14">
        <v>6.97</v>
      </c>
      <c r="G72" s="15">
        <f t="shared" si="2"/>
        <v>1219.75</v>
      </c>
      <c r="H72" s="11" t="s">
        <v>111</v>
      </c>
      <c r="I72" s="12" t="s">
        <v>173</v>
      </c>
      <c r="J72" s="16" t="s">
        <v>174</v>
      </c>
      <c r="K72" s="11" t="s">
        <v>43</v>
      </c>
    </row>
    <row r="73" spans="1:11" x14ac:dyDescent="0.35">
      <c r="A73" s="11" t="s">
        <v>17</v>
      </c>
      <c r="B73" s="12" t="s">
        <v>175</v>
      </c>
      <c r="C73" s="11" t="s">
        <v>172</v>
      </c>
      <c r="D73" s="13">
        <v>1</v>
      </c>
      <c r="E73" s="11" t="s">
        <v>39</v>
      </c>
      <c r="F73" s="14">
        <v>1116.27</v>
      </c>
      <c r="G73" s="15">
        <f t="shared" si="2"/>
        <v>1116.27</v>
      </c>
      <c r="H73" s="11" t="s">
        <v>111</v>
      </c>
      <c r="I73" s="12" t="s">
        <v>173</v>
      </c>
      <c r="J73" s="16" t="s">
        <v>174</v>
      </c>
      <c r="K73" s="11" t="s">
        <v>43</v>
      </c>
    </row>
    <row r="74" spans="1:11" x14ac:dyDescent="0.35">
      <c r="A74" s="11" t="s">
        <v>17</v>
      </c>
      <c r="B74" s="12" t="s">
        <v>176</v>
      </c>
      <c r="C74" s="11" t="s">
        <v>177</v>
      </c>
      <c r="D74" s="13">
        <v>1</v>
      </c>
      <c r="E74" s="11" t="s">
        <v>51</v>
      </c>
      <c r="F74" s="14">
        <v>20000</v>
      </c>
      <c r="G74" s="15">
        <f t="shared" si="2"/>
        <v>20000</v>
      </c>
      <c r="H74" s="11" t="s">
        <v>46</v>
      </c>
      <c r="I74" s="12" t="s">
        <v>178</v>
      </c>
      <c r="J74" s="16" t="s">
        <v>179</v>
      </c>
      <c r="K74" s="11" t="s">
        <v>43</v>
      </c>
    </row>
    <row r="75" spans="1:11" x14ac:dyDescent="0.35">
      <c r="A75" s="11" t="s">
        <v>17</v>
      </c>
      <c r="B75" s="12" t="s">
        <v>180</v>
      </c>
      <c r="C75" s="11" t="s">
        <v>181</v>
      </c>
      <c r="D75" s="13">
        <v>2</v>
      </c>
      <c r="E75" s="11" t="s">
        <v>182</v>
      </c>
      <c r="F75" s="14">
        <v>147.53</v>
      </c>
      <c r="G75" s="15">
        <f t="shared" si="2"/>
        <v>295.06</v>
      </c>
      <c r="H75" s="11" t="s">
        <v>111</v>
      </c>
      <c r="I75" s="12" t="s">
        <v>274</v>
      </c>
      <c r="J75" s="16" t="s">
        <v>184</v>
      </c>
      <c r="K75" s="11" t="s">
        <v>43</v>
      </c>
    </row>
    <row r="76" spans="1:11" x14ac:dyDescent="0.35">
      <c r="A76" s="17" t="s">
        <v>185</v>
      </c>
      <c r="B76" s="18"/>
      <c r="C76" s="18"/>
      <c r="D76" s="18"/>
      <c r="E76" s="18"/>
      <c r="F76" s="18"/>
      <c r="G76" s="19">
        <f>SUM(G69:G75)</f>
        <v>201631.08</v>
      </c>
      <c r="H76" s="18"/>
      <c r="I76" s="18"/>
      <c r="J76" s="18"/>
      <c r="K76" s="18"/>
    </row>
    <row r="78" spans="1:11" x14ac:dyDescent="0.35">
      <c r="B78" s="6" t="s">
        <v>186</v>
      </c>
      <c r="G78" s="20">
        <f>G7+G11+G15+G19+G28+G35+G40+G51+G58+G61+G67+G76</f>
        <v>2629616.56</v>
      </c>
    </row>
    <row r="79" spans="1:11" x14ac:dyDescent="0.35">
      <c r="B79" s="6" t="s">
        <v>187</v>
      </c>
      <c r="G79" s="20">
        <f>G40+G51+G58+G61+G67</f>
        <v>907955.02</v>
      </c>
    </row>
    <row r="80" spans="1:11" x14ac:dyDescent="0.35">
      <c r="B80" s="2" t="s">
        <v>188</v>
      </c>
      <c r="F80" s="21">
        <v>0.15</v>
      </c>
    </row>
    <row r="81" spans="1:11" x14ac:dyDescent="0.35">
      <c r="B81" s="6" t="s">
        <v>189</v>
      </c>
      <c r="G81" s="20">
        <f>G79*F80</f>
        <v>136193.253</v>
      </c>
    </row>
    <row r="82" spans="1:11" x14ac:dyDescent="0.35">
      <c r="B82" s="2" t="s">
        <v>190</v>
      </c>
      <c r="F82" s="21">
        <v>0.12</v>
      </c>
    </row>
    <row r="83" spans="1:11" x14ac:dyDescent="0.35">
      <c r="B83" s="6" t="s">
        <v>191</v>
      </c>
      <c r="G83" s="20">
        <f>(G78+G81)*F82</f>
        <v>331897.17755999998</v>
      </c>
    </row>
    <row r="84" spans="1:11" x14ac:dyDescent="0.35">
      <c r="A84" s="22"/>
      <c r="B84" s="23" t="s">
        <v>192</v>
      </c>
      <c r="C84" s="22"/>
      <c r="D84" s="22"/>
      <c r="E84" s="22"/>
      <c r="F84" s="22"/>
      <c r="G84" s="24">
        <f>G78+G81+G83</f>
        <v>3097706.9905599998</v>
      </c>
      <c r="H84" s="22"/>
      <c r="I84" s="22"/>
      <c r="J84" s="22"/>
      <c r="K84" s="22"/>
    </row>
  </sheetData>
  <hyperlinks>
    <hyperlink ref="J5" r:id="rId1" xr:uid="{00000000-0004-0000-0300-000000000000}"/>
    <hyperlink ref="J9" r:id="rId2" xr:uid="{00000000-0004-0000-0300-000001000000}"/>
    <hyperlink ref="J10" r:id="rId3" xr:uid="{00000000-0004-0000-0300-000002000000}"/>
    <hyperlink ref="J13" r:id="rId4" xr:uid="{00000000-0004-0000-0300-000003000000}"/>
    <hyperlink ref="J14" r:id="rId5" xr:uid="{00000000-0004-0000-0300-000004000000}"/>
    <hyperlink ref="J17" r:id="rId6" xr:uid="{00000000-0004-0000-0300-000005000000}"/>
    <hyperlink ref="J21" r:id="rId7" xr:uid="{00000000-0004-0000-0300-000006000000}"/>
    <hyperlink ref="J22" r:id="rId8" xr:uid="{00000000-0004-0000-0300-000007000000}"/>
    <hyperlink ref="J23" r:id="rId9" xr:uid="{00000000-0004-0000-0300-000008000000}"/>
    <hyperlink ref="J24" r:id="rId10" xr:uid="{00000000-0004-0000-0300-000009000000}"/>
    <hyperlink ref="J25" r:id="rId11" xr:uid="{00000000-0004-0000-0300-00000A000000}"/>
    <hyperlink ref="J26" r:id="rId12" xr:uid="{00000000-0004-0000-0300-00000B000000}"/>
    <hyperlink ref="J31" r:id="rId13" xr:uid="{00000000-0004-0000-0300-00000C000000}"/>
    <hyperlink ref="J32" r:id="rId14" xr:uid="{00000000-0004-0000-0300-00000D000000}"/>
    <hyperlink ref="J33" r:id="rId15" xr:uid="{00000000-0004-0000-0300-00000E000000}"/>
    <hyperlink ref="J37" r:id="rId16" xr:uid="{00000000-0004-0000-0300-00000F000000}"/>
    <hyperlink ref="J39" r:id="rId17" xr:uid="{00000000-0004-0000-0300-000010000000}"/>
    <hyperlink ref="J44" r:id="rId18" xr:uid="{00000000-0004-0000-0300-000011000000}"/>
    <hyperlink ref="J45" r:id="rId19" xr:uid="{00000000-0004-0000-0300-000012000000}"/>
    <hyperlink ref="J46" r:id="rId20" xr:uid="{00000000-0004-0000-0300-000013000000}"/>
    <hyperlink ref="J48" r:id="rId21" xr:uid="{00000000-0004-0000-0300-000014000000}"/>
    <hyperlink ref="J49" r:id="rId22" xr:uid="{00000000-0004-0000-0300-000015000000}"/>
    <hyperlink ref="J53" r:id="rId23" xr:uid="{00000000-0004-0000-0300-000016000000}"/>
    <hyperlink ref="J54" r:id="rId24" xr:uid="{00000000-0004-0000-0300-000017000000}"/>
    <hyperlink ref="J70" r:id="rId25" xr:uid="{00000000-0004-0000-0300-000018000000}"/>
    <hyperlink ref="J71" r:id="rId26" xr:uid="{00000000-0004-0000-0300-000019000000}"/>
    <hyperlink ref="J72" r:id="rId27" xr:uid="{00000000-0004-0000-0300-00001A000000}"/>
    <hyperlink ref="J73" r:id="rId28" xr:uid="{00000000-0004-0000-0300-00001B000000}"/>
    <hyperlink ref="J74" r:id="rId29" xr:uid="{00000000-0004-0000-0300-00001C000000}"/>
    <hyperlink ref="J75" r:id="rId30" xr:uid="{00000000-0004-0000-0300-00001D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9"/>
  <sheetViews>
    <sheetView workbookViewId="0"/>
  </sheetViews>
  <sheetFormatPr defaultRowHeight="14.5" x14ac:dyDescent="0.35"/>
  <cols>
    <col min="1" max="1" width="52" customWidth="1"/>
    <col min="2" max="3" width="16" customWidth="1"/>
    <col min="4" max="4" width="12" customWidth="1"/>
    <col min="5" max="5" width="14" customWidth="1"/>
    <col min="6" max="6" width="16" customWidth="1"/>
  </cols>
  <sheetData>
    <row r="1" spans="1:6" ht="18" x14ac:dyDescent="0.4">
      <c r="A1" s="1" t="s">
        <v>323</v>
      </c>
    </row>
    <row r="2" spans="1:6" x14ac:dyDescent="0.35">
      <c r="A2" s="2" t="s">
        <v>324</v>
      </c>
    </row>
    <row r="4" spans="1:6" x14ac:dyDescent="0.35">
      <c r="A4" s="3" t="s">
        <v>325</v>
      </c>
      <c r="B4" s="3" t="s">
        <v>326</v>
      </c>
      <c r="C4" s="3" t="s">
        <v>327</v>
      </c>
      <c r="D4" s="3" t="s">
        <v>35</v>
      </c>
    </row>
    <row r="5" spans="1:6" x14ac:dyDescent="0.35">
      <c r="A5" s="2" t="s">
        <v>328</v>
      </c>
      <c r="B5" s="25">
        <v>1.05</v>
      </c>
      <c r="C5" s="2" t="s">
        <v>329</v>
      </c>
      <c r="D5" s="26" t="s">
        <v>330</v>
      </c>
    </row>
    <row r="6" spans="1:6" x14ac:dyDescent="0.35">
      <c r="A6" s="2" t="s">
        <v>331</v>
      </c>
      <c r="B6" s="25">
        <v>63.68</v>
      </c>
      <c r="C6" s="2" t="s">
        <v>332</v>
      </c>
      <c r="D6" s="26" t="s">
        <v>333</v>
      </c>
    </row>
    <row r="7" spans="1:6" x14ac:dyDescent="0.35">
      <c r="A7" s="2" t="s">
        <v>334</v>
      </c>
      <c r="B7" s="25">
        <v>14</v>
      </c>
      <c r="C7" s="2" t="s">
        <v>335</v>
      </c>
    </row>
    <row r="8" spans="1:6" x14ac:dyDescent="0.35">
      <c r="A8" s="2" t="s">
        <v>336</v>
      </c>
      <c r="B8" s="25">
        <v>170</v>
      </c>
      <c r="C8" s="2" t="s">
        <v>337</v>
      </c>
    </row>
    <row r="9" spans="1:6" x14ac:dyDescent="0.35">
      <c r="A9" s="2" t="s">
        <v>338</v>
      </c>
      <c r="B9" s="25">
        <v>5500</v>
      </c>
      <c r="C9" s="2" t="s">
        <v>339</v>
      </c>
      <c r="D9" s="26" t="s">
        <v>340</v>
      </c>
    </row>
    <row r="11" spans="1:6" x14ac:dyDescent="0.35">
      <c r="A11" s="3" t="s">
        <v>341</v>
      </c>
      <c r="B11" s="3" t="s">
        <v>342</v>
      </c>
      <c r="C11" s="3" t="s">
        <v>343</v>
      </c>
      <c r="D11" s="3" t="s">
        <v>344</v>
      </c>
      <c r="E11" s="3" t="s">
        <v>345</v>
      </c>
      <c r="F11" s="3" t="s">
        <v>346</v>
      </c>
    </row>
    <row r="12" spans="1:6" x14ac:dyDescent="0.35">
      <c r="A12" s="2" t="s">
        <v>347</v>
      </c>
      <c r="B12" s="25">
        <v>20</v>
      </c>
      <c r="C12" s="27">
        <v>0.45</v>
      </c>
      <c r="D12" s="2">
        <f>$B$7</f>
        <v>14</v>
      </c>
      <c r="E12" s="28">
        <f t="shared" ref="E12:E17" si="0">B12*C12*D12*30</f>
        <v>3780</v>
      </c>
      <c r="F12" s="29">
        <f t="shared" ref="F12:F17" si="1">E12*$B$5</f>
        <v>3969</v>
      </c>
    </row>
    <row r="13" spans="1:6" x14ac:dyDescent="0.35">
      <c r="A13" s="2" t="s">
        <v>348</v>
      </c>
      <c r="B13" s="25">
        <v>24</v>
      </c>
      <c r="C13" s="27">
        <v>0.3</v>
      </c>
      <c r="D13" s="2">
        <f>$B$7</f>
        <v>14</v>
      </c>
      <c r="E13" s="28">
        <f t="shared" si="0"/>
        <v>3023.9999999999995</v>
      </c>
      <c r="F13" s="29">
        <f t="shared" si="1"/>
        <v>3175.2</v>
      </c>
    </row>
    <row r="14" spans="1:6" x14ac:dyDescent="0.35">
      <c r="A14" s="2" t="s">
        <v>9</v>
      </c>
      <c r="B14" s="25">
        <v>2.62</v>
      </c>
      <c r="C14" s="27">
        <v>0.6</v>
      </c>
      <c r="D14" s="25">
        <v>10</v>
      </c>
      <c r="E14" s="28">
        <f t="shared" si="0"/>
        <v>471.6</v>
      </c>
      <c r="F14" s="29">
        <f t="shared" si="1"/>
        <v>495.18000000000006</v>
      </c>
    </row>
    <row r="15" spans="1:6" x14ac:dyDescent="0.35">
      <c r="A15" s="2" t="s">
        <v>349</v>
      </c>
      <c r="B15" s="25">
        <v>4</v>
      </c>
      <c r="C15" s="27">
        <v>0.6</v>
      </c>
      <c r="D15" s="25">
        <v>24</v>
      </c>
      <c r="E15" s="28">
        <f t="shared" si="0"/>
        <v>1727.9999999999998</v>
      </c>
      <c r="F15" s="29">
        <f t="shared" si="1"/>
        <v>1814.3999999999999</v>
      </c>
    </row>
    <row r="16" spans="1:6" x14ac:dyDescent="0.35">
      <c r="A16" s="2" t="s">
        <v>350</v>
      </c>
      <c r="B16" s="25">
        <v>2</v>
      </c>
      <c r="C16" s="27">
        <v>1</v>
      </c>
      <c r="D16" s="2">
        <f>$B$7</f>
        <v>14</v>
      </c>
      <c r="E16" s="28">
        <f t="shared" si="0"/>
        <v>840</v>
      </c>
      <c r="F16" s="29">
        <f t="shared" si="1"/>
        <v>882</v>
      </c>
    </row>
    <row r="17" spans="1:6" x14ac:dyDescent="0.35">
      <c r="A17" s="2" t="s">
        <v>351</v>
      </c>
      <c r="B17" s="25">
        <v>1.5</v>
      </c>
      <c r="C17" s="27">
        <v>1</v>
      </c>
      <c r="D17" s="2">
        <f>$B$7</f>
        <v>14</v>
      </c>
      <c r="E17" s="28">
        <f t="shared" si="0"/>
        <v>630</v>
      </c>
      <c r="F17" s="29">
        <f t="shared" si="1"/>
        <v>661.5</v>
      </c>
    </row>
    <row r="18" spans="1:6" x14ac:dyDescent="0.35">
      <c r="A18" s="6" t="s">
        <v>352</v>
      </c>
      <c r="E18" s="28">
        <f>SUM(E12:E17)</f>
        <v>10473.6</v>
      </c>
      <c r="F18" s="20">
        <f>SUM(F12:F17)</f>
        <v>10997.28</v>
      </c>
    </row>
    <row r="20" spans="1:6" x14ac:dyDescent="0.35">
      <c r="A20" s="3" t="s">
        <v>353</v>
      </c>
      <c r="B20" s="3" t="s">
        <v>354</v>
      </c>
      <c r="C20" s="3"/>
      <c r="D20" s="3"/>
      <c r="E20" s="3"/>
      <c r="F20" s="3" t="s">
        <v>346</v>
      </c>
    </row>
    <row r="21" spans="1:6" x14ac:dyDescent="0.35">
      <c r="A21" s="2" t="s">
        <v>355</v>
      </c>
      <c r="B21" s="25">
        <v>255</v>
      </c>
      <c r="F21" s="29">
        <f>B21*$B$6</f>
        <v>16238.4</v>
      </c>
    </row>
    <row r="22" spans="1:6" x14ac:dyDescent="0.35">
      <c r="A22" s="2" t="s">
        <v>356</v>
      </c>
      <c r="B22" s="25">
        <v>7</v>
      </c>
      <c r="F22" s="29">
        <f>B22*$B$6</f>
        <v>445.76</v>
      </c>
    </row>
    <row r="23" spans="1:6" x14ac:dyDescent="0.35">
      <c r="A23" s="2" t="s">
        <v>8</v>
      </c>
      <c r="B23" s="25">
        <v>3</v>
      </c>
      <c r="F23" s="29">
        <f>B23*$B$6</f>
        <v>191.04</v>
      </c>
    </row>
    <row r="24" spans="1:6" x14ac:dyDescent="0.35">
      <c r="A24" s="2" t="s">
        <v>357</v>
      </c>
      <c r="B24" s="25">
        <v>10</v>
      </c>
      <c r="F24" s="29">
        <f>B24*$B$6</f>
        <v>636.79999999999995</v>
      </c>
    </row>
    <row r="25" spans="1:6" x14ac:dyDescent="0.35">
      <c r="A25" s="6" t="s">
        <v>358</v>
      </c>
      <c r="F25" s="20">
        <f>SUM(F21:F24)</f>
        <v>17512</v>
      </c>
    </row>
    <row r="27" spans="1:6" x14ac:dyDescent="0.35">
      <c r="A27" s="3" t="s">
        <v>359</v>
      </c>
      <c r="B27" s="3" t="s">
        <v>360</v>
      </c>
      <c r="C27" s="3"/>
      <c r="D27" s="3"/>
      <c r="E27" s="3"/>
      <c r="F27" s="3" t="s">
        <v>346</v>
      </c>
    </row>
    <row r="28" spans="1:6" x14ac:dyDescent="0.35">
      <c r="A28" s="2" t="s">
        <v>361</v>
      </c>
      <c r="B28" s="25">
        <v>2.5</v>
      </c>
      <c r="F28" s="10">
        <f>B28*$B$9</f>
        <v>13750</v>
      </c>
    </row>
    <row r="29" spans="1:6" x14ac:dyDescent="0.35">
      <c r="A29" s="2" t="s">
        <v>362</v>
      </c>
      <c r="B29" s="25">
        <v>1</v>
      </c>
      <c r="F29" s="10">
        <f>B29*$B$9</f>
        <v>5500</v>
      </c>
    </row>
    <row r="30" spans="1:6" x14ac:dyDescent="0.35">
      <c r="A30" s="2" t="s">
        <v>363</v>
      </c>
      <c r="C30" s="2" t="s">
        <v>364</v>
      </c>
      <c r="F30" s="30">
        <v>1650</v>
      </c>
    </row>
    <row r="31" spans="1:6" x14ac:dyDescent="0.35">
      <c r="A31" s="2" t="s">
        <v>365</v>
      </c>
      <c r="C31" s="2" t="s">
        <v>366</v>
      </c>
      <c r="F31" s="30">
        <v>1000</v>
      </c>
    </row>
    <row r="32" spans="1:6" x14ac:dyDescent="0.35">
      <c r="A32" s="2" t="s">
        <v>367</v>
      </c>
      <c r="C32" s="2" t="s">
        <v>46</v>
      </c>
      <c r="F32" s="30">
        <v>1500</v>
      </c>
    </row>
    <row r="33" spans="1:6" x14ac:dyDescent="0.35">
      <c r="A33" s="6" t="s">
        <v>368</v>
      </c>
      <c r="F33" s="20">
        <f>SUM(F28:F32)</f>
        <v>23400</v>
      </c>
    </row>
    <row r="35" spans="1:6" x14ac:dyDescent="0.35">
      <c r="A35" s="6" t="s">
        <v>369</v>
      </c>
      <c r="F35" s="24">
        <f>F18+F25+F33</f>
        <v>51909.279999999999</v>
      </c>
    </row>
    <row r="36" spans="1:6" x14ac:dyDescent="0.35">
      <c r="A36" s="6" t="s">
        <v>370</v>
      </c>
      <c r="F36" s="20">
        <f>F35/5000</f>
        <v>10.381855999999999</v>
      </c>
    </row>
    <row r="37" spans="1:6" x14ac:dyDescent="0.35">
      <c r="A37" s="6" t="s">
        <v>371</v>
      </c>
      <c r="F37" s="20">
        <f>F35/($B$8*30)</f>
        <v>10.17829019607843</v>
      </c>
    </row>
    <row r="39" spans="1:6" x14ac:dyDescent="0.35">
      <c r="A39" s="2" t="s">
        <v>372</v>
      </c>
    </row>
  </sheetData>
  <hyperlinks>
    <hyperlink ref="D5" r:id="rId1" xr:uid="{00000000-0004-0000-0400-000000000000}"/>
    <hyperlink ref="D6" r:id="rId2" xr:uid="{00000000-0004-0000-0400-000001000000}"/>
    <hyperlink ref="D9" r:id="rId3" xr:uid="{00000000-0004-0000-0400-000002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18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58" customWidth="1"/>
    <col min="2" max="2" width="16" customWidth="1"/>
    <col min="3" max="3" width="18" customWidth="1"/>
    <col min="4" max="4" width="14" customWidth="1"/>
    <col min="5" max="44" width="3.1796875" customWidth="1"/>
  </cols>
  <sheetData>
    <row r="1" spans="1:44" ht="18" x14ac:dyDescent="0.4">
      <c r="A1" s="1" t="s">
        <v>373</v>
      </c>
    </row>
    <row r="2" spans="1:44" x14ac:dyDescent="0.35">
      <c r="A2" s="2" t="s">
        <v>374</v>
      </c>
    </row>
    <row r="4" spans="1:44" ht="28" x14ac:dyDescent="0.35">
      <c r="A4" s="3" t="s">
        <v>375</v>
      </c>
      <c r="B4" s="3" t="s">
        <v>376</v>
      </c>
      <c r="C4" s="3" t="s">
        <v>377</v>
      </c>
      <c r="D4" s="3" t="s">
        <v>378</v>
      </c>
      <c r="E4" s="31">
        <v>1</v>
      </c>
      <c r="F4" s="31">
        <v>2</v>
      </c>
      <c r="G4" s="31">
        <v>3</v>
      </c>
      <c r="H4" s="31">
        <v>4</v>
      </c>
      <c r="I4" s="31">
        <v>5</v>
      </c>
      <c r="J4" s="31">
        <v>6</v>
      </c>
      <c r="K4" s="31">
        <v>7</v>
      </c>
      <c r="L4" s="31">
        <v>8</v>
      </c>
      <c r="M4" s="31">
        <v>9</v>
      </c>
      <c r="N4" s="31">
        <v>10</v>
      </c>
      <c r="O4" s="31">
        <v>11</v>
      </c>
      <c r="P4" s="31">
        <v>12</v>
      </c>
      <c r="Q4" s="31">
        <v>13</v>
      </c>
      <c r="R4" s="31">
        <v>14</v>
      </c>
      <c r="S4" s="31">
        <v>15</v>
      </c>
      <c r="T4" s="31">
        <v>16</v>
      </c>
      <c r="U4" s="31">
        <v>17</v>
      </c>
      <c r="V4" s="31">
        <v>18</v>
      </c>
      <c r="W4" s="31">
        <v>19</v>
      </c>
      <c r="X4" s="31">
        <v>20</v>
      </c>
      <c r="Y4" s="31">
        <v>21</v>
      </c>
      <c r="Z4" s="31">
        <v>22</v>
      </c>
      <c r="AA4" s="31">
        <v>23</v>
      </c>
      <c r="AB4" s="31">
        <v>24</v>
      </c>
      <c r="AC4" s="31">
        <v>25</v>
      </c>
      <c r="AD4" s="31">
        <v>26</v>
      </c>
      <c r="AE4" s="31">
        <v>27</v>
      </c>
      <c r="AF4" s="31">
        <v>28</v>
      </c>
      <c r="AG4" s="31">
        <v>29</v>
      </c>
      <c r="AH4" s="31">
        <v>30</v>
      </c>
      <c r="AI4" s="31">
        <v>31</v>
      </c>
      <c r="AJ4" s="31">
        <v>32</v>
      </c>
      <c r="AK4" s="31">
        <v>33</v>
      </c>
      <c r="AL4" s="31">
        <v>34</v>
      </c>
      <c r="AM4" s="31">
        <v>35</v>
      </c>
      <c r="AN4" s="31">
        <v>36</v>
      </c>
      <c r="AO4" s="31">
        <v>37</v>
      </c>
      <c r="AP4" s="31">
        <v>38</v>
      </c>
      <c r="AQ4" s="31">
        <v>39</v>
      </c>
      <c r="AR4" s="31">
        <v>40</v>
      </c>
    </row>
    <row r="5" spans="1:44" x14ac:dyDescent="0.35">
      <c r="A5" s="2" t="s">
        <v>379</v>
      </c>
      <c r="B5" s="25">
        <v>1</v>
      </c>
      <c r="C5" s="25">
        <v>3</v>
      </c>
      <c r="D5" s="2">
        <f t="shared" ref="D5:D18" si="0">B5+C5-1</f>
        <v>3</v>
      </c>
      <c r="E5" s="32"/>
      <c r="F5" s="32"/>
      <c r="G5" s="32"/>
    </row>
    <row r="6" spans="1:44" x14ac:dyDescent="0.35">
      <c r="A6" s="2" t="s">
        <v>380</v>
      </c>
      <c r="B6" s="25">
        <v>3</v>
      </c>
      <c r="C6" s="25">
        <v>8</v>
      </c>
      <c r="D6" s="2">
        <f t="shared" si="0"/>
        <v>10</v>
      </c>
      <c r="G6" s="32"/>
      <c r="H6" s="32"/>
      <c r="I6" s="32"/>
      <c r="J6" s="32"/>
      <c r="K6" s="32"/>
      <c r="L6" s="32"/>
      <c r="M6" s="32"/>
      <c r="N6" s="32"/>
    </row>
    <row r="7" spans="1:44" x14ac:dyDescent="0.35">
      <c r="A7" s="2" t="s">
        <v>381</v>
      </c>
      <c r="B7" s="25">
        <v>9</v>
      </c>
      <c r="C7" s="25">
        <v>12</v>
      </c>
      <c r="D7" s="2">
        <f t="shared" si="0"/>
        <v>20</v>
      </c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</row>
    <row r="8" spans="1:44" x14ac:dyDescent="0.35">
      <c r="A8" s="2" t="s">
        <v>382</v>
      </c>
      <c r="B8" s="25">
        <v>14</v>
      </c>
      <c r="C8" s="25">
        <v>9</v>
      </c>
      <c r="D8" s="2">
        <f t="shared" si="0"/>
        <v>22</v>
      </c>
      <c r="R8" s="32"/>
      <c r="S8" s="32"/>
      <c r="T8" s="32"/>
      <c r="U8" s="32"/>
      <c r="V8" s="32"/>
      <c r="W8" s="32"/>
      <c r="X8" s="32"/>
      <c r="Y8" s="32"/>
      <c r="Z8" s="32"/>
    </row>
    <row r="9" spans="1:44" x14ac:dyDescent="0.35">
      <c r="A9" s="2" t="s">
        <v>383</v>
      </c>
      <c r="B9" s="25">
        <v>11</v>
      </c>
      <c r="C9" s="25">
        <v>18</v>
      </c>
      <c r="D9" s="2">
        <f t="shared" si="0"/>
        <v>28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</row>
    <row r="10" spans="1:44" x14ac:dyDescent="0.35">
      <c r="A10" s="2" t="s">
        <v>384</v>
      </c>
      <c r="B10" s="25">
        <v>20</v>
      </c>
      <c r="C10" s="25">
        <v>2</v>
      </c>
      <c r="D10" s="2">
        <f t="shared" si="0"/>
        <v>21</v>
      </c>
      <c r="X10" s="32"/>
      <c r="Y10" s="32"/>
    </row>
    <row r="11" spans="1:44" x14ac:dyDescent="0.35">
      <c r="A11" s="2" t="s">
        <v>385</v>
      </c>
      <c r="B11" s="25">
        <v>22</v>
      </c>
      <c r="C11" s="25">
        <v>3</v>
      </c>
      <c r="D11" s="2">
        <f t="shared" si="0"/>
        <v>24</v>
      </c>
      <c r="Z11" s="32"/>
      <c r="AA11" s="32"/>
      <c r="AB11" s="32"/>
    </row>
    <row r="12" spans="1:44" x14ac:dyDescent="0.35">
      <c r="A12" s="2" t="s">
        <v>386</v>
      </c>
      <c r="B12" s="25">
        <v>23</v>
      </c>
      <c r="C12" s="25">
        <v>6</v>
      </c>
      <c r="D12" s="2">
        <f t="shared" si="0"/>
        <v>28</v>
      </c>
      <c r="AA12" s="32"/>
      <c r="AB12" s="32"/>
      <c r="AC12" s="32"/>
      <c r="AD12" s="32"/>
      <c r="AE12" s="32"/>
      <c r="AF12" s="32"/>
    </row>
    <row r="13" spans="1:44" x14ac:dyDescent="0.35">
      <c r="A13" s="2" t="s">
        <v>387</v>
      </c>
      <c r="B13" s="25">
        <v>27</v>
      </c>
      <c r="C13" s="25">
        <v>4</v>
      </c>
      <c r="D13" s="2">
        <f t="shared" si="0"/>
        <v>30</v>
      </c>
      <c r="AE13" s="32"/>
      <c r="AF13" s="32"/>
      <c r="AG13" s="32"/>
      <c r="AH13" s="32"/>
    </row>
    <row r="14" spans="1:44" x14ac:dyDescent="0.35">
      <c r="A14" s="2" t="s">
        <v>388</v>
      </c>
      <c r="B14" s="25">
        <v>30</v>
      </c>
      <c r="C14" s="25">
        <v>5</v>
      </c>
      <c r="D14" s="2">
        <f t="shared" si="0"/>
        <v>34</v>
      </c>
      <c r="AH14" s="32"/>
      <c r="AI14" s="32"/>
      <c r="AJ14" s="32"/>
      <c r="AK14" s="32"/>
      <c r="AL14" s="32"/>
    </row>
    <row r="15" spans="1:44" x14ac:dyDescent="0.35">
      <c r="A15" s="2" t="s">
        <v>389</v>
      </c>
      <c r="B15" s="25">
        <v>31</v>
      </c>
      <c r="C15" s="25">
        <v>5</v>
      </c>
      <c r="D15" s="2">
        <f t="shared" si="0"/>
        <v>35</v>
      </c>
      <c r="AI15" s="32"/>
      <c r="AJ15" s="32"/>
      <c r="AK15" s="32"/>
      <c r="AL15" s="32"/>
      <c r="AM15" s="32"/>
    </row>
    <row r="16" spans="1:44" x14ac:dyDescent="0.35">
      <c r="A16" s="2" t="s">
        <v>390</v>
      </c>
      <c r="B16" s="25">
        <v>34</v>
      </c>
      <c r="C16" s="25">
        <v>3</v>
      </c>
      <c r="D16" s="2">
        <f t="shared" si="0"/>
        <v>36</v>
      </c>
      <c r="AL16" s="32"/>
      <c r="AM16" s="32"/>
      <c r="AN16" s="32"/>
    </row>
    <row r="17" spans="1:43" x14ac:dyDescent="0.35">
      <c r="A17" s="2" t="s">
        <v>391</v>
      </c>
      <c r="B17" s="25">
        <v>36</v>
      </c>
      <c r="C17" s="25">
        <v>3</v>
      </c>
      <c r="D17" s="2">
        <f t="shared" si="0"/>
        <v>38</v>
      </c>
      <c r="AN17" s="32"/>
      <c r="AO17" s="32"/>
      <c r="AP17" s="32"/>
    </row>
    <row r="18" spans="1:43" x14ac:dyDescent="0.35">
      <c r="A18" s="2" t="s">
        <v>392</v>
      </c>
      <c r="B18" s="25">
        <v>39</v>
      </c>
      <c r="C18" s="25">
        <v>1</v>
      </c>
      <c r="D18" s="2">
        <f t="shared" si="0"/>
        <v>39</v>
      </c>
      <c r="AQ18" s="3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1"/>
  <sheetViews>
    <sheetView workbookViewId="0"/>
  </sheetViews>
  <sheetFormatPr defaultRowHeight="14.5" x14ac:dyDescent="0.35"/>
  <cols>
    <col min="1" max="1" width="30" customWidth="1"/>
    <col min="2" max="2" width="120" customWidth="1"/>
  </cols>
  <sheetData>
    <row r="1" spans="1:2" ht="18" x14ac:dyDescent="0.4">
      <c r="A1" s="1" t="s">
        <v>393</v>
      </c>
    </row>
    <row r="3" spans="1:2" x14ac:dyDescent="0.35">
      <c r="A3" s="3" t="s">
        <v>33</v>
      </c>
      <c r="B3" s="3" t="s">
        <v>394</v>
      </c>
    </row>
    <row r="4" spans="1:2" x14ac:dyDescent="0.35">
      <c r="A4" s="6" t="s">
        <v>40</v>
      </c>
      <c r="B4" s="2" t="s">
        <v>395</v>
      </c>
    </row>
    <row r="5" spans="1:2" x14ac:dyDescent="0.35">
      <c r="A5" s="6" t="s">
        <v>68</v>
      </c>
      <c r="B5" s="2" t="s">
        <v>396</v>
      </c>
    </row>
    <row r="6" spans="1:2" x14ac:dyDescent="0.35">
      <c r="A6" s="6" t="s">
        <v>111</v>
      </c>
      <c r="B6" s="2" t="s">
        <v>397</v>
      </c>
    </row>
    <row r="7" spans="1:2" x14ac:dyDescent="0.35">
      <c r="A7" s="6" t="s">
        <v>46</v>
      </c>
      <c r="B7" s="2" t="s">
        <v>398</v>
      </c>
    </row>
    <row r="8" spans="1:2" x14ac:dyDescent="0.35">
      <c r="A8" s="6" t="s">
        <v>216</v>
      </c>
      <c r="B8" s="2" t="s">
        <v>399</v>
      </c>
    </row>
    <row r="9" spans="1:2" x14ac:dyDescent="0.35">
      <c r="A9" s="6" t="s">
        <v>400</v>
      </c>
      <c r="B9" s="2" t="s">
        <v>401</v>
      </c>
    </row>
    <row r="11" spans="1:2" x14ac:dyDescent="0.35">
      <c r="A11" s="6" t="s">
        <v>402</v>
      </c>
    </row>
    <row r="12" spans="1:2" x14ac:dyDescent="0.35">
      <c r="A12" s="26" t="s">
        <v>280</v>
      </c>
    </row>
    <row r="13" spans="1:2" x14ac:dyDescent="0.35">
      <c r="A13" s="26" t="s">
        <v>260</v>
      </c>
    </row>
    <row r="14" spans="1:2" x14ac:dyDescent="0.35">
      <c r="A14" s="26" t="s">
        <v>179</v>
      </c>
    </row>
    <row r="15" spans="1:2" x14ac:dyDescent="0.35">
      <c r="A15" s="26" t="s">
        <v>218</v>
      </c>
    </row>
    <row r="16" spans="1:2" x14ac:dyDescent="0.35">
      <c r="A16" s="26" t="s">
        <v>403</v>
      </c>
    </row>
    <row r="17" spans="1:1" x14ac:dyDescent="0.35">
      <c r="A17" s="26" t="s">
        <v>298</v>
      </c>
    </row>
    <row r="18" spans="1:1" x14ac:dyDescent="0.35">
      <c r="A18" s="26" t="s">
        <v>42</v>
      </c>
    </row>
    <row r="19" spans="1:1" x14ac:dyDescent="0.35">
      <c r="A19" s="26" t="s">
        <v>209</v>
      </c>
    </row>
    <row r="20" spans="1:1" x14ac:dyDescent="0.35">
      <c r="A20" s="26" t="s">
        <v>404</v>
      </c>
    </row>
    <row r="21" spans="1:1" x14ac:dyDescent="0.35">
      <c r="A21" s="26" t="s">
        <v>86</v>
      </c>
    </row>
    <row r="22" spans="1:1" x14ac:dyDescent="0.35">
      <c r="A22" s="26" t="s">
        <v>113</v>
      </c>
    </row>
    <row r="23" spans="1:1" x14ac:dyDescent="0.35">
      <c r="A23" s="26" t="s">
        <v>133</v>
      </c>
    </row>
    <row r="24" spans="1:1" x14ac:dyDescent="0.35">
      <c r="A24" s="26" t="s">
        <v>141</v>
      </c>
    </row>
    <row r="25" spans="1:1" x14ac:dyDescent="0.35">
      <c r="A25" s="26" t="s">
        <v>145</v>
      </c>
    </row>
    <row r="26" spans="1:1" x14ac:dyDescent="0.35">
      <c r="A26" s="26" t="s">
        <v>62</v>
      </c>
    </row>
    <row r="27" spans="1:1" x14ac:dyDescent="0.35">
      <c r="A27" s="26" t="s">
        <v>126</v>
      </c>
    </row>
    <row r="28" spans="1:1" x14ac:dyDescent="0.35">
      <c r="A28" s="26" t="s">
        <v>129</v>
      </c>
    </row>
    <row r="29" spans="1:1" x14ac:dyDescent="0.35">
      <c r="A29" s="26" t="s">
        <v>174</v>
      </c>
    </row>
    <row r="30" spans="1:1" x14ac:dyDescent="0.35">
      <c r="A30" s="26" t="s">
        <v>405</v>
      </c>
    </row>
    <row r="31" spans="1:1" x14ac:dyDescent="0.35">
      <c r="A31" s="26" t="s">
        <v>288</v>
      </c>
    </row>
    <row r="32" spans="1:1" x14ac:dyDescent="0.35">
      <c r="A32" s="26" t="s">
        <v>225</v>
      </c>
    </row>
    <row r="33" spans="1:1" x14ac:dyDescent="0.35">
      <c r="A33" s="26" t="s">
        <v>166</v>
      </c>
    </row>
    <row r="34" spans="1:1" x14ac:dyDescent="0.35">
      <c r="A34" s="26" t="s">
        <v>221</v>
      </c>
    </row>
    <row r="35" spans="1:1" x14ac:dyDescent="0.35">
      <c r="A35" s="26" t="s">
        <v>301</v>
      </c>
    </row>
    <row r="36" spans="1:1" x14ac:dyDescent="0.35">
      <c r="A36" s="26" t="s">
        <v>80</v>
      </c>
    </row>
    <row r="37" spans="1:1" x14ac:dyDescent="0.35">
      <c r="A37" s="26" t="s">
        <v>82</v>
      </c>
    </row>
    <row r="38" spans="1:1" x14ac:dyDescent="0.35">
      <c r="A38" s="26" t="s">
        <v>170</v>
      </c>
    </row>
    <row r="39" spans="1:1" x14ac:dyDescent="0.35">
      <c r="A39" s="26" t="s">
        <v>235</v>
      </c>
    </row>
    <row r="40" spans="1:1" x14ac:dyDescent="0.35">
      <c r="A40" s="26" t="s">
        <v>228</v>
      </c>
    </row>
    <row r="41" spans="1:1" x14ac:dyDescent="0.35">
      <c r="A41" s="26" t="s">
        <v>303</v>
      </c>
    </row>
    <row r="42" spans="1:1" x14ac:dyDescent="0.35">
      <c r="A42" s="26" t="s">
        <v>65</v>
      </c>
    </row>
    <row r="43" spans="1:1" x14ac:dyDescent="0.35">
      <c r="A43" s="26" t="s">
        <v>57</v>
      </c>
    </row>
    <row r="44" spans="1:1" x14ac:dyDescent="0.35">
      <c r="A44" s="26" t="s">
        <v>205</v>
      </c>
    </row>
    <row r="45" spans="1:1" x14ac:dyDescent="0.35">
      <c r="A45" s="26" t="s">
        <v>95</v>
      </c>
    </row>
    <row r="46" spans="1:1" x14ac:dyDescent="0.35">
      <c r="A46" s="26" t="s">
        <v>92</v>
      </c>
    </row>
    <row r="47" spans="1:1" x14ac:dyDescent="0.35">
      <c r="A47" s="26" t="s">
        <v>237</v>
      </c>
    </row>
    <row r="48" spans="1:1" x14ac:dyDescent="0.35">
      <c r="A48" s="26" t="s">
        <v>77</v>
      </c>
    </row>
    <row r="49" spans="1:1" x14ac:dyDescent="0.35">
      <c r="A49" s="26" t="s">
        <v>244</v>
      </c>
    </row>
    <row r="50" spans="1:1" x14ac:dyDescent="0.35">
      <c r="A50" s="26" t="s">
        <v>70</v>
      </c>
    </row>
    <row r="51" spans="1:1" x14ac:dyDescent="0.35">
      <c r="A51" s="26" t="s">
        <v>136</v>
      </c>
    </row>
    <row r="52" spans="1:1" x14ac:dyDescent="0.35">
      <c r="A52" s="26" t="s">
        <v>201</v>
      </c>
    </row>
    <row r="53" spans="1:1" x14ac:dyDescent="0.35">
      <c r="A53" s="26" t="s">
        <v>103</v>
      </c>
    </row>
    <row r="54" spans="1:1" x14ac:dyDescent="0.35">
      <c r="A54" s="26" t="s">
        <v>184</v>
      </c>
    </row>
    <row r="55" spans="1:1" x14ac:dyDescent="0.35">
      <c r="A55" s="26" t="s">
        <v>99</v>
      </c>
    </row>
    <row r="56" spans="1:1" x14ac:dyDescent="0.35">
      <c r="A56" s="26" t="s">
        <v>53</v>
      </c>
    </row>
    <row r="57" spans="1:1" x14ac:dyDescent="0.35">
      <c r="A57" s="26" t="s">
        <v>406</v>
      </c>
    </row>
    <row r="58" spans="1:1" x14ac:dyDescent="0.35">
      <c r="A58" s="26" t="s">
        <v>294</v>
      </c>
    </row>
    <row r="59" spans="1:1" x14ac:dyDescent="0.35">
      <c r="A59" s="26" t="s">
        <v>256</v>
      </c>
    </row>
    <row r="60" spans="1:1" x14ac:dyDescent="0.35">
      <c r="A60" s="26" t="s">
        <v>117</v>
      </c>
    </row>
    <row r="61" spans="1:1" x14ac:dyDescent="0.35">
      <c r="A61" s="26" t="s">
        <v>252</v>
      </c>
    </row>
  </sheetData>
  <hyperlinks>
    <hyperlink ref="A12" r:id="rId1" xr:uid="{00000000-0004-0000-0600-000000000000}"/>
    <hyperlink ref="A13" r:id="rId2" xr:uid="{00000000-0004-0000-0600-000001000000}"/>
    <hyperlink ref="A14" r:id="rId3" xr:uid="{00000000-0004-0000-0600-000002000000}"/>
    <hyperlink ref="A15" r:id="rId4" xr:uid="{00000000-0004-0000-0600-000003000000}"/>
    <hyperlink ref="A16" r:id="rId5" xr:uid="{00000000-0004-0000-0600-000004000000}"/>
    <hyperlink ref="A17" r:id="rId6" xr:uid="{00000000-0004-0000-0600-000005000000}"/>
    <hyperlink ref="A18" r:id="rId7" xr:uid="{00000000-0004-0000-0600-000006000000}"/>
    <hyperlink ref="A19" r:id="rId8" xr:uid="{00000000-0004-0000-0600-000007000000}"/>
    <hyperlink ref="A20" r:id="rId9" xr:uid="{00000000-0004-0000-0600-000008000000}"/>
    <hyperlink ref="A21" r:id="rId10" xr:uid="{00000000-0004-0000-0600-000009000000}"/>
    <hyperlink ref="A22" r:id="rId11" xr:uid="{00000000-0004-0000-0600-00000A000000}"/>
    <hyperlink ref="A23" r:id="rId12" xr:uid="{00000000-0004-0000-0600-00000B000000}"/>
    <hyperlink ref="A24" r:id="rId13" xr:uid="{00000000-0004-0000-0600-00000C000000}"/>
    <hyperlink ref="A25" r:id="rId14" xr:uid="{00000000-0004-0000-0600-00000D000000}"/>
    <hyperlink ref="A26" r:id="rId15" xr:uid="{00000000-0004-0000-0600-00000E000000}"/>
    <hyperlink ref="A27" r:id="rId16" xr:uid="{00000000-0004-0000-0600-00000F000000}"/>
    <hyperlink ref="A28" r:id="rId17" xr:uid="{00000000-0004-0000-0600-000010000000}"/>
    <hyperlink ref="A29" r:id="rId18" xr:uid="{00000000-0004-0000-0600-000011000000}"/>
    <hyperlink ref="A30" r:id="rId19" xr:uid="{00000000-0004-0000-0600-000012000000}"/>
    <hyperlink ref="A31" r:id="rId20" xr:uid="{00000000-0004-0000-0600-000013000000}"/>
    <hyperlink ref="A32" r:id="rId21" xr:uid="{00000000-0004-0000-0600-000014000000}"/>
    <hyperlink ref="A33" r:id="rId22" xr:uid="{00000000-0004-0000-0600-000015000000}"/>
    <hyperlink ref="A34" r:id="rId23" xr:uid="{00000000-0004-0000-0600-000016000000}"/>
    <hyperlink ref="A35" r:id="rId24" xr:uid="{00000000-0004-0000-0600-000017000000}"/>
    <hyperlink ref="A36" r:id="rId25" xr:uid="{00000000-0004-0000-0600-000018000000}"/>
    <hyperlink ref="A37" r:id="rId26" xr:uid="{00000000-0004-0000-0600-000019000000}"/>
    <hyperlink ref="A38" r:id="rId27" xr:uid="{00000000-0004-0000-0600-00001A000000}"/>
    <hyperlink ref="A39" r:id="rId28" xr:uid="{00000000-0004-0000-0600-00001B000000}"/>
    <hyperlink ref="A40" r:id="rId29" xr:uid="{00000000-0004-0000-0600-00001C000000}"/>
    <hyperlink ref="A41" r:id="rId30" xr:uid="{00000000-0004-0000-0600-00001D000000}"/>
    <hyperlink ref="A42" r:id="rId31" xr:uid="{00000000-0004-0000-0600-00001E000000}"/>
    <hyperlink ref="A43" r:id="rId32" xr:uid="{00000000-0004-0000-0600-00001F000000}"/>
    <hyperlink ref="A44" r:id="rId33" xr:uid="{00000000-0004-0000-0600-000020000000}"/>
    <hyperlink ref="A45" r:id="rId34" xr:uid="{00000000-0004-0000-0600-000021000000}"/>
    <hyperlink ref="A46" r:id="rId35" xr:uid="{00000000-0004-0000-0600-000022000000}"/>
    <hyperlink ref="A47" r:id="rId36" xr:uid="{00000000-0004-0000-0600-000023000000}"/>
    <hyperlink ref="A48" r:id="rId37" xr:uid="{00000000-0004-0000-0600-000024000000}"/>
    <hyperlink ref="A49" r:id="rId38" xr:uid="{00000000-0004-0000-0600-000025000000}"/>
    <hyperlink ref="A50" r:id="rId39" xr:uid="{00000000-0004-0000-0600-000026000000}"/>
    <hyperlink ref="A51" r:id="rId40" xr:uid="{00000000-0004-0000-0600-000027000000}"/>
    <hyperlink ref="A52" r:id="rId41" xr:uid="{00000000-0004-0000-0600-000028000000}"/>
    <hyperlink ref="A53" r:id="rId42" xr:uid="{00000000-0004-0000-0600-000029000000}"/>
    <hyperlink ref="A54" r:id="rId43" xr:uid="{00000000-0004-0000-0600-00002A000000}"/>
    <hyperlink ref="A55" r:id="rId44" xr:uid="{00000000-0004-0000-0600-00002B000000}"/>
    <hyperlink ref="A56" r:id="rId45" xr:uid="{00000000-0004-0000-0600-00002C000000}"/>
    <hyperlink ref="A57" r:id="rId46" xr:uid="{00000000-0004-0000-0600-00002D000000}"/>
    <hyperlink ref="A58" r:id="rId47" xr:uid="{00000000-0004-0000-0600-00002E000000}"/>
    <hyperlink ref="A59" r:id="rId48" xr:uid="{00000000-0004-0000-0600-00002F000000}"/>
    <hyperlink ref="A60" r:id="rId49" xr:uid="{00000000-0004-0000-0600-000030000000}"/>
    <hyperlink ref="A61" r:id="rId50" xr:uid="{00000000-0004-0000-0600-000031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Essencial</vt:lpstr>
      <vt:lpstr>Recomendado</vt:lpstr>
      <vt:lpstr>Premium</vt:lpstr>
      <vt:lpstr>Custo operacional</vt:lpstr>
      <vt:lpstr>Cronograma</vt:lpstr>
      <vt:lpstr>Fontes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Chaibub Filho</cp:lastModifiedBy>
  <dcterms:created xsi:type="dcterms:W3CDTF">2026-10-29T18:26:27Z</dcterms:created>
  <dcterms:modified xsi:type="dcterms:W3CDTF">2026-10-29T18:28:13Z</dcterms:modified>
</cp:coreProperties>
</file>